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its" sheetId="1" r:id="rId5"/>
    <sheet state="visible" name="Ingredients" sheetId="2" r:id="rId6"/>
    <sheet state="visible" name="Other" sheetId="3" r:id="rId7"/>
    <sheet state="visible" name="OPEX" sheetId="4" r:id="rId8"/>
    <sheet state="visible" name="Summary" sheetId="5" r:id="rId9"/>
    <sheet state="visible" name="Blank Recipe DUPLICATE THIS" sheetId="6" r:id="rId10"/>
  </sheets>
  <definedNames/>
  <calcPr/>
</workbook>
</file>

<file path=xl/sharedStrings.xml><?xml version="1.0" encoding="utf-8"?>
<sst xmlns="http://schemas.openxmlformats.org/spreadsheetml/2006/main" count="141" uniqueCount="106">
  <si>
    <t>INGREDIENT</t>
  </si>
  <si>
    <t>ITEM</t>
  </si>
  <si>
    <t>OPERATING EXPENSES (OPEX)</t>
  </si>
  <si>
    <t>SUPPLIER</t>
  </si>
  <si>
    <t>PACKAGE PRICE</t>
  </si>
  <si>
    <t>AMOUNT/MONTH</t>
  </si>
  <si>
    <t>UNITS</t>
  </si>
  <si>
    <t>QTY PER PACK</t>
  </si>
  <si>
    <t>SHIPPING FEE</t>
  </si>
  <si>
    <t>UNIT</t>
  </si>
  <si>
    <t>Rent</t>
  </si>
  <si>
    <t>UNIT COST</t>
  </si>
  <si>
    <t>g</t>
  </si>
  <si>
    <t>Salaries (staff)</t>
  </si>
  <si>
    <t>Electricity</t>
  </si>
  <si>
    <t>Water</t>
  </si>
  <si>
    <t>Internet/Phone</t>
  </si>
  <si>
    <t>POS / Software</t>
  </si>
  <si>
    <t>Cleaning Supplies</t>
  </si>
  <si>
    <t>kg</t>
  </si>
  <si>
    <t>LPG / Cooking Fuel</t>
  </si>
  <si>
    <t>Permits &amp; Licenses, Monthly Allocation</t>
  </si>
  <si>
    <t>Repairs &amp; Maintenance</t>
  </si>
  <si>
    <t>Marketing / Ads</t>
  </si>
  <si>
    <t>Miscellaneous Expenses</t>
  </si>
  <si>
    <t>oz</t>
  </si>
  <si>
    <t>lbs</t>
  </si>
  <si>
    <t>mg</t>
  </si>
  <si>
    <t>mL</t>
  </si>
  <si>
    <t>L</t>
  </si>
  <si>
    <t>fl oz</t>
  </si>
  <si>
    <t>TOTAL MONTHLY OPEX</t>
  </si>
  <si>
    <t>tsp</t>
  </si>
  <si>
    <t>tbsp</t>
  </si>
  <si>
    <t>cup</t>
  </si>
  <si>
    <t>pint</t>
  </si>
  <si>
    <t>CONTINGENCY (5%)</t>
  </si>
  <si>
    <t>quart</t>
  </si>
  <si>
    <t>gallon</t>
  </si>
  <si>
    <t>unit</t>
  </si>
  <si>
    <t>dozen</t>
  </si>
  <si>
    <t>ESTIMATED MONTHLY OPEX</t>
  </si>
  <si>
    <t>pack</t>
  </si>
  <si>
    <t>bottle</t>
  </si>
  <si>
    <t>can</t>
  </si>
  <si>
    <t>box</t>
  </si>
  <si>
    <t>jar</t>
  </si>
  <si>
    <t>bag</t>
  </si>
  <si>
    <t>piece</t>
  </si>
  <si>
    <t>tray</t>
  </si>
  <si>
    <t>slice</t>
  </si>
  <si>
    <t>RECIPE</t>
  </si>
  <si>
    <t>PRICING METHOD</t>
  </si>
  <si>
    <t>SELLING PRICE</t>
  </si>
  <si>
    <t>COST/ORDER</t>
  </si>
  <si>
    <t>GROSS PROFIT/ORDER</t>
  </si>
  <si>
    <t>EST. ORDERS/MONTH</t>
  </si>
  <si>
    <t>GROSS SALES/MONTH</t>
  </si>
  <si>
    <t>GROSS PROFIT/MONTH</t>
  </si>
  <si>
    <t>VAT/ORDER</t>
  </si>
  <si>
    <t>VAT/MONTH</t>
  </si>
  <si>
    <t>NET SALES/MONTH</t>
  </si>
  <si>
    <t>COGS/MONTH</t>
  </si>
  <si>
    <t>MONTHLY PROFIT PROJECTION</t>
  </si>
  <si>
    <t>GROSS SALES</t>
  </si>
  <si>
    <t>Less: VAT</t>
  </si>
  <si>
    <t>NET SALES</t>
  </si>
  <si>
    <t>Less: Cost of Goods Sold</t>
  </si>
  <si>
    <t>GROSS PROFIT</t>
  </si>
  <si>
    <t>Less Monthly OPEX</t>
  </si>
  <si>
    <t>NET PROFIT</t>
  </si>
  <si>
    <t>Net Profit Margin</t>
  </si>
  <si>
    <t>For planning purposes only</t>
  </si>
  <si>
    <t>This is a projection based on your recipes, selling prioces, expected monthly orders, and OPEX. It does NOT represent your actual busines results.
Use it to test different sales scenarios and see if your expected monthly sales can cover your operating expenses and generate a profit.</t>
  </si>
  <si>
    <t>RECIPE NAME</t>
  </si>
  <si>
    <t>Batch</t>
  </si>
  <si>
    <t>Serving</t>
  </si>
  <si>
    <t>OTHER SETTINGS</t>
  </si>
  <si>
    <t>Total ingredient cost</t>
  </si>
  <si>
    <t>Include wastage?</t>
  </si>
  <si>
    <t>Total packaging cost</t>
  </si>
  <si>
    <t>Wastage %</t>
  </si>
  <si>
    <t>Total cost</t>
  </si>
  <si>
    <t>Fixed markup</t>
  </si>
  <si>
    <t>Markup %</t>
  </si>
  <si>
    <t>Margin %</t>
  </si>
  <si>
    <t>Selling price</t>
  </si>
  <si>
    <t>Price before VAT</t>
  </si>
  <si>
    <t>VAT</t>
  </si>
  <si>
    <t>Cost per order</t>
  </si>
  <si>
    <t>SETTINGS</t>
  </si>
  <si>
    <t>Profit</t>
  </si>
  <si>
    <t>Include VAT?</t>
  </si>
  <si>
    <t>Implied margin %</t>
  </si>
  <si>
    <t>VAT%</t>
  </si>
  <si>
    <t>Discount amount</t>
  </si>
  <si>
    <t>Implied markup %</t>
  </si>
  <si>
    <t># of Servings</t>
  </si>
  <si>
    <t>Discounted price</t>
  </si>
  <si>
    <t>PWD/senior discount %</t>
  </si>
  <si>
    <t>INGREDIENTS</t>
  </si>
  <si>
    <t>QTY</t>
  </si>
  <si>
    <t>COST</t>
  </si>
  <si>
    <t>IMPORTANT!!!</t>
  </si>
  <si>
    <t>&lt;- Please do not add or delete rows, as this may break the formulas. Only replace the existing values.</t>
  </si>
  <si>
    <t>PROPERTY NOTICE: Original Food Costing Calculator created by JQ for PH Business Network (PBN). © 2026. Not for unauthorized reproduction, resale, redistribution, or removal of attribution.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</si>
</sst>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
    <numFmt numFmtId="165" formatCode="[$₱]#,##0.000"/>
    <numFmt numFmtId="166" formatCode="#,##0.00;(#,##0.00)"/>
  </numFmts>
  <fonts count="17">
    <font>
      <sz val="10.0"/>
      <color rgb="FF000000"/>
      <name val="Arial"/>
      <scheme val="minor"/>
    </font>
    <font>
      <sz val="10.0"/>
      <color theme="1"/>
      <name val="Century Gothic"/>
    </font>
    <font>
      <b/>
      <sz val="10.0"/>
      <color rgb="FFFFFFFF"/>
      <name val="Century Gothic"/>
    </font>
    <font/>
    <font>
      <color theme="1"/>
      <name val="Century Gothic"/>
    </font>
    <font>
      <b/>
      <color rgb="FFFFFFFF"/>
      <name val="Century Gothic"/>
    </font>
    <font>
      <sz val="9.0"/>
      <color theme="1"/>
      <name val="Century Gothic"/>
    </font>
    <font>
      <b/>
      <sz val="10.0"/>
      <color theme="1"/>
      <name val="Century Gothic"/>
    </font>
    <font>
      <b/>
      <sz val="9.0"/>
      <color theme="1"/>
      <name val="Century Gothic"/>
    </font>
    <font>
      <color theme="1"/>
      <name val="Arial"/>
      <scheme val="minor"/>
    </font>
    <font>
      <b/>
      <color theme="1"/>
      <name val="Century Gothic"/>
    </font>
    <font>
      <b/>
      <color rgb="FF0B5394"/>
      <name val="Century Gothic"/>
    </font>
    <font>
      <color rgb="FFFFFFFF"/>
      <name val="Century Gothic"/>
    </font>
    <font>
      <sz val="10.0"/>
      <color theme="1"/>
      <name val="Arial"/>
      <scheme val="minor"/>
    </font>
    <font>
      <b/>
      <sz val="10.0"/>
      <color rgb="FFFF0000"/>
      <name val="Century Gothic"/>
    </font>
    <font>
      <sz val="10.0"/>
      <color rgb="FFFF0000"/>
      <name val="Century Gothic"/>
    </font>
    <font>
      <color rgb="FFD0E0E3"/>
      <name val="Century Gothic"/>
    </font>
  </fonts>
  <fills count="11">
    <fill>
      <patternFill patternType="none"/>
    </fill>
    <fill>
      <patternFill patternType="lightGray"/>
    </fill>
    <fill>
      <patternFill patternType="solid">
        <fgColor rgb="FF0C343D"/>
        <bgColor rgb="FF0C343D"/>
      </patternFill>
    </fill>
    <fill>
      <patternFill patternType="solid">
        <fgColor rgb="FFD0E0E3"/>
        <bgColor rgb="FFD0E0E3"/>
      </patternFill>
    </fill>
    <fill>
      <patternFill patternType="solid">
        <fgColor rgb="FFF3F3F3"/>
        <bgColor rgb="FFF3F3F3"/>
      </patternFill>
    </fill>
    <fill>
      <patternFill patternType="solid">
        <fgColor rgb="FFFFFFFF"/>
        <bgColor rgb="FFFFFFFF"/>
      </patternFill>
    </fill>
    <fill>
      <patternFill patternType="solid">
        <fgColor rgb="FFFFF2CC"/>
        <bgColor rgb="FFFFF2CC"/>
      </patternFill>
    </fill>
    <fill>
      <patternFill patternType="solid">
        <fgColor rgb="FF134F5C"/>
        <bgColor rgb="FF134F5C"/>
      </patternFill>
    </fill>
    <fill>
      <patternFill patternType="solid">
        <fgColor rgb="FF741B47"/>
        <bgColor rgb="FF741B47"/>
      </patternFill>
    </fill>
    <fill>
      <patternFill patternType="solid">
        <fgColor rgb="FF9FC5E8"/>
        <bgColor rgb="FF9FC5E8"/>
      </patternFill>
    </fill>
    <fill>
      <patternFill patternType="solid">
        <fgColor rgb="FFEAD1DC"/>
        <bgColor rgb="FFEAD1DC"/>
      </patternFill>
    </fill>
  </fills>
  <borders count="135">
    <border/>
    <border>
      <left style="thin">
        <color rgb="FF0C343D"/>
      </left>
      <top style="thin">
        <color rgb="FF0C343D"/>
      </top>
      <bottom style="thin">
        <color rgb="FF0C343D"/>
      </bottom>
    </border>
    <border>
      <top style="thin">
        <color rgb="FF0C343D"/>
      </top>
      <bottom style="thin">
        <color rgb="FF0C343D"/>
      </bottom>
    </border>
    <border>
      <right style="thin">
        <color rgb="FF0C343D"/>
      </right>
      <top style="thin">
        <color rgb="FF0C343D"/>
      </top>
      <bottom style="thin">
        <color rgb="FF0C343D"/>
      </bottom>
    </border>
    <border>
      <left style="thin">
        <color rgb="FFD0E0E3"/>
      </left>
      <right style="thin">
        <color rgb="FFD0E0E3"/>
      </right>
      <top style="thin">
        <color rgb="FFD0E0E3"/>
      </top>
      <bottom style="thin">
        <color rgb="FFD0E0E3"/>
      </bottom>
    </border>
    <border>
      <left style="thin">
        <color rgb="FFD0E0E3"/>
      </left>
      <right style="thin">
        <color rgb="FFD0E0E3"/>
      </right>
      <bottom style="thin">
        <color rgb="FFD0E0E3"/>
      </bottom>
    </border>
    <border>
      <left style="thin">
        <color rgb="FFD0E0E3"/>
      </left>
      <right style="thin">
        <color rgb="FFD0E0E3"/>
      </right>
      <top style="thin">
        <color rgb="FFD0E0E3"/>
      </top>
    </border>
    <border>
      <left style="thin">
        <color rgb="FFD0E0E3"/>
      </left>
    </border>
    <border>
      <right style="thin">
        <color rgb="FFD0E0E3"/>
      </right>
    </border>
    <border>
      <left style="thin">
        <color rgb="FFD0E0E3"/>
      </left>
      <top style="thin">
        <color rgb="FFD0E0E3"/>
      </top>
      <bottom style="thin">
        <color rgb="FFD0E0E3"/>
      </bottom>
    </border>
    <border>
      <left style="thin">
        <color rgb="FFD0E0E3"/>
      </left>
      <right style="thin">
        <color rgb="FFD0E0E3"/>
      </right>
    </border>
    <border>
      <left style="thin">
        <color rgb="FF000000"/>
      </left>
      <right style="thin">
        <color rgb="FFFFFFFF"/>
      </right>
      <top style="thin">
        <color rgb="FF000000"/>
      </top>
      <bottom style="thin">
        <color rgb="FF000000"/>
      </bottom>
    </border>
    <border>
      <left style="thin">
        <color rgb="FFFFFFFF"/>
      </left>
      <right style="thin">
        <color rgb="FFFFFFFF"/>
      </right>
      <top style="thin">
        <color rgb="FF000000"/>
      </top>
      <bottom style="thin">
        <color rgb="FF000000"/>
      </bottom>
    </border>
    <border>
      <left style="thin">
        <color rgb="FF000000"/>
      </left>
      <right style="thin">
        <color rgb="FFD9D9D9"/>
      </right>
      <top style="thin">
        <color rgb="FF000000"/>
      </top>
      <bottom style="thin">
        <color rgb="FFD9D9D9"/>
      </bottom>
    </border>
    <border>
      <left style="thin">
        <color rgb="FFD9D9D9"/>
      </left>
      <right style="thin">
        <color rgb="FF000000"/>
      </right>
      <top style="thin">
        <color rgb="FF000000"/>
      </top>
      <bottom style="thin">
        <color rgb="FFD9D9D9"/>
      </bottom>
    </border>
    <border>
      <right style="thin">
        <color rgb="FFD0E0E3"/>
      </right>
      <top style="thin">
        <color rgb="FFD0E0E3"/>
      </top>
      <bottom style="thin">
        <color rgb="FFD0E0E3"/>
      </bottom>
    </border>
    <border>
      <left style="thin">
        <color rgb="FF000000"/>
      </left>
      <top style="thin">
        <color rgb="FF000000"/>
      </top>
      <bottom style="thin">
        <color rgb="FFD9D9D9"/>
      </bottom>
    </border>
    <border>
      <top style="thin">
        <color rgb="FF000000"/>
      </top>
      <bottom style="thin">
        <color rgb="FFD9D9D9"/>
      </bottom>
    </border>
    <border>
      <right style="thin">
        <color rgb="FF000000"/>
      </right>
      <top style="thin">
        <color rgb="FF000000"/>
      </top>
      <bottom style="thin">
        <color rgb="FFD9D9D9"/>
      </bottom>
    </border>
    <border>
      <left style="thin">
        <color rgb="FF000000"/>
      </left>
      <right style="thin">
        <color rgb="FFD9D9D9"/>
      </right>
      <top style="thin">
        <color rgb="FFD9D9D9"/>
      </top>
      <bottom style="thin">
        <color rgb="FFD9D9D9"/>
      </bottom>
    </border>
    <border>
      <left style="thin">
        <color rgb="FFFFFFFF"/>
      </left>
      <right style="thin">
        <color rgb="FF000000"/>
      </right>
      <top style="thin">
        <color rgb="FF000000"/>
      </top>
      <bottom style="thin">
        <color rgb="FF000000"/>
      </bottom>
    </border>
    <border>
      <left style="thin">
        <color rgb="FFD9D9D9"/>
      </left>
      <right style="thin">
        <color rgb="FF000000"/>
      </right>
      <top style="thin">
        <color rgb="FFD9D9D9"/>
      </top>
      <bottom style="thin">
        <color rgb="FFD9D9D9"/>
      </bottom>
    </border>
    <border>
      <left style="thin">
        <color rgb="FF666666"/>
      </left>
      <right style="thin">
        <color rgb="FFD9D9D9"/>
      </right>
      <bottom style="thin">
        <color rgb="FFD9D9D9"/>
      </bottom>
    </border>
    <border>
      <left style="thin">
        <color rgb="FF000000"/>
      </left>
      <top style="thin">
        <color rgb="FFD9D9D9"/>
      </top>
      <bottom style="thin">
        <color rgb="FFD9D9D9"/>
      </bottom>
    </border>
    <border>
      <left style="thin">
        <color rgb="FFD9D9D9"/>
      </left>
      <right style="thin">
        <color rgb="FFD9D9D9"/>
      </right>
      <bottom style="thin">
        <color rgb="FFD9D9D9"/>
      </bottom>
    </border>
    <border>
      <top style="thin">
        <color rgb="FFD9D9D9"/>
      </top>
      <bottom style="thin">
        <color rgb="FFD9D9D9"/>
      </bottom>
    </border>
    <border>
      <right style="thin">
        <color rgb="FF000000"/>
      </right>
      <top style="thin">
        <color rgb="FFD9D9D9"/>
      </top>
      <bottom style="thin">
        <color rgb="FFD9D9D9"/>
      </bottom>
    </border>
    <border>
      <left style="thin">
        <color rgb="FF000000"/>
      </left>
      <right style="thin">
        <color rgb="FFD9D9D9"/>
      </right>
      <top style="thin">
        <color rgb="FFD9D9D9"/>
      </top>
    </border>
    <border>
      <left style="thin">
        <color rgb="FFD9D9D9"/>
      </left>
      <right style="thin">
        <color rgb="FF000000"/>
      </right>
      <top style="thin">
        <color rgb="FFD9D9D9"/>
      </top>
    </border>
    <border>
      <left style="thin">
        <color rgb="FF000000"/>
      </left>
      <right style="thin">
        <color rgb="FFD9D9D9"/>
      </right>
      <top style="thin">
        <color rgb="FFD9D9D9"/>
      </top>
      <bottom style="thin">
        <color rgb="FF000000"/>
      </bottom>
    </border>
    <border>
      <left style="thin">
        <color rgb="FFD9D9D9"/>
      </left>
      <right style="thin">
        <color rgb="FF000000"/>
      </right>
      <top style="thin">
        <color rgb="FFD9D9D9"/>
      </top>
      <bottom style="thin">
        <color rgb="FF000000"/>
      </bottom>
    </border>
    <border>
      <left style="thin">
        <color rgb="FFD0E0E3"/>
      </left>
      <right style="thin">
        <color rgb="FFFFFFFF"/>
      </right>
      <bottom style="thin">
        <color rgb="FFFFFFFF"/>
      </bottom>
    </border>
    <border>
      <left style="thin">
        <color rgb="FFD9D9D9"/>
      </left>
      <right style="thin">
        <color rgb="FF666666"/>
      </right>
      <bottom style="thin">
        <color rgb="FFD9D9D9"/>
      </bottom>
    </border>
    <border>
      <left style="thin">
        <color rgb="FF666666"/>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FFFFFF"/>
      </left>
      <right style="thin">
        <color rgb="FFD0E0E3"/>
      </right>
      <bottom style="thin">
        <color rgb="FFFFFFFF"/>
      </bottom>
    </border>
    <border>
      <left style="thin">
        <color rgb="FFD9D9D9"/>
      </left>
      <right style="thin">
        <color rgb="FF666666"/>
      </right>
      <top style="thin">
        <color rgb="FFD9D9D9"/>
      </top>
      <bottom style="thin">
        <color rgb="FFD9D9D9"/>
      </bottom>
    </border>
    <border>
      <left style="thin">
        <color rgb="FFD0E0E3"/>
      </left>
      <right style="thin">
        <color rgb="FFFFFFFF"/>
      </right>
      <top style="thin">
        <color rgb="FFFFFFFF"/>
      </top>
      <bottom style="thin">
        <color rgb="FF000000"/>
      </bottom>
    </border>
    <border>
      <left style="thin">
        <color rgb="FFFFFFFF"/>
      </left>
      <right style="thin">
        <color rgb="FFD0E0E3"/>
      </right>
      <top style="thin">
        <color rgb="FFFFFFFF"/>
      </top>
      <bottom style="thin">
        <color rgb="FF000000"/>
      </bottom>
    </border>
    <border>
      <left style="thin">
        <color rgb="FFD0E0E3"/>
      </left>
      <right style="thin">
        <color rgb="FFFFF2CC"/>
      </right>
      <bottom style="thin">
        <color rgb="FFD0E0E3"/>
      </bottom>
    </border>
    <border>
      <left style="thin">
        <color rgb="FFFFF2CC"/>
      </left>
      <right style="thin">
        <color rgb="FFD0E0E3"/>
      </right>
      <bottom style="thin">
        <color rgb="FFD0E0E3"/>
      </bottom>
    </border>
    <border>
      <left style="thin">
        <color rgb="FF0C343D"/>
      </left>
      <right style="thin">
        <color rgb="FF0C343D"/>
      </right>
      <top style="thin">
        <color rgb="FF0C343D"/>
      </top>
      <bottom style="thin">
        <color rgb="FF0C343D"/>
      </bottom>
    </border>
    <border>
      <left style="thin">
        <color rgb="FF000000"/>
      </left>
      <right style="thin">
        <color rgb="FFD0E0E3"/>
      </right>
      <top style="thin">
        <color rgb="FF000000"/>
      </top>
    </border>
    <border>
      <left style="thin">
        <color rgb="FFD0E0E3"/>
      </left>
      <right style="thin">
        <color rgb="FFD0E0E3"/>
      </right>
      <top style="thin">
        <color rgb="FF000000"/>
      </top>
    </border>
    <border>
      <left style="thin">
        <color rgb="FFD0E0E3"/>
      </left>
      <right style="thin">
        <color rgb="FF000000"/>
      </right>
      <top style="thin">
        <color rgb="FF000000"/>
      </top>
    </border>
    <border>
      <left style="thin">
        <color rgb="FF000000"/>
      </left>
      <top style="thin">
        <color rgb="FFD9D9D9"/>
      </top>
      <bottom style="thin">
        <color rgb="FF000000"/>
      </bottom>
    </border>
    <border>
      <top style="thin">
        <color rgb="FFD9D9D9"/>
      </top>
      <bottom style="thin">
        <color rgb="FF000000"/>
      </bottom>
    </border>
    <border>
      <right style="thin">
        <color rgb="FF000000"/>
      </right>
      <top style="thin">
        <color rgb="FFD9D9D9"/>
      </top>
      <bottom style="thin">
        <color rgb="FF000000"/>
      </bottom>
    </border>
    <border>
      <top style="thin">
        <color rgb="FFD0E0E3"/>
      </top>
      <bottom style="thin">
        <color rgb="FFD0E0E3"/>
      </bottom>
    </border>
    <border>
      <left style="thin">
        <color rgb="FF000000"/>
      </left>
      <right style="thin">
        <color rgb="FFFFFFFF"/>
      </right>
      <top style="thin">
        <color rgb="FF000000"/>
      </top>
      <bottom style="thin">
        <color rgb="FFFFFFFF"/>
      </bottom>
    </border>
    <border>
      <left style="thin">
        <color rgb="FFFFFFFF"/>
      </left>
      <right style="thin">
        <color rgb="FFFFFFFF"/>
      </right>
      <top style="thin">
        <color rgb="FF000000"/>
      </top>
      <bottom style="thin">
        <color rgb="FFFFFFFF"/>
      </bottom>
    </border>
    <border>
      <left style="thin">
        <color rgb="FFFFFFFF"/>
      </left>
      <right style="thin">
        <color rgb="FF000000"/>
      </right>
      <top style="thin">
        <color rgb="FF000000"/>
      </top>
      <bottom style="thin">
        <color rgb="FFFFFFFF"/>
      </bottom>
    </border>
    <border>
      <left style="thin">
        <color rgb="FF000000"/>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000000"/>
      </right>
      <top style="thin">
        <color rgb="FFFFFFFF"/>
      </top>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000000"/>
      </bottom>
    </border>
    <border>
      <left style="thin">
        <color rgb="FFFFFFFF"/>
      </left>
      <top style="thin">
        <color rgb="FFFFFFFF"/>
      </top>
      <bottom style="thin">
        <color rgb="FF000000"/>
      </bottom>
    </border>
    <border>
      <top style="thin">
        <color rgb="FFFFFFFF"/>
      </top>
      <bottom style="thin">
        <color rgb="FF000000"/>
      </bottom>
    </border>
    <border>
      <right style="thin">
        <color rgb="FFFFFFFF"/>
      </right>
      <top style="thin">
        <color rgb="FFFFFFFF"/>
      </top>
      <bottom style="thin">
        <color rgb="FF000000"/>
      </bottom>
    </border>
    <border>
      <left style="thin">
        <color rgb="FFFFFFFF"/>
      </left>
      <right style="thin">
        <color rgb="FFFFFFFF"/>
      </right>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rder>
    <border>
      <right style="thin">
        <color rgb="FFFFFFFF"/>
      </right>
    </border>
    <border>
      <left style="thin">
        <color rgb="FF000000"/>
      </left>
      <right style="thin">
        <color rgb="FFFFFFFF"/>
      </right>
      <top style="thin">
        <color rgb="FFFFFFFF"/>
      </top>
      <bottom style="thin">
        <color rgb="FF000000"/>
      </bottom>
    </border>
    <border>
      <left style="thin">
        <color rgb="FFFFFFFF"/>
      </left>
      <bottom style="thin">
        <color rgb="FF000000"/>
      </bottom>
    </border>
    <border>
      <bottom style="thin">
        <color rgb="FF000000"/>
      </bottom>
    </border>
    <border>
      <right style="thin">
        <color rgb="FFFFFFFF"/>
      </right>
      <bottom style="thin">
        <color rgb="FF000000"/>
      </bottom>
    </border>
    <border>
      <left style="thin">
        <color rgb="FFFFFFFF"/>
      </left>
      <right style="thin">
        <color rgb="FF000000"/>
      </right>
      <top style="thin">
        <color rgb="FFFFFFFF"/>
      </top>
      <bottom style="thin">
        <color rgb="FF000000"/>
      </bottom>
    </border>
    <border>
      <left style="thin">
        <color rgb="FFD0E0E3"/>
      </left>
      <right style="thin">
        <color rgb="FFD0E0E3"/>
      </right>
      <bottom style="thin">
        <color rgb="FFF3F3F3"/>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9FC5E8"/>
      </right>
      <top style="thin">
        <color rgb="FF000000"/>
      </top>
      <bottom style="thin">
        <color rgb="FF9FC5E8"/>
      </bottom>
    </border>
    <border>
      <left style="thin">
        <color rgb="FF9FC5E8"/>
      </left>
      <right style="thin">
        <color rgb="FF9FC5E8"/>
      </right>
      <top style="thin">
        <color rgb="FF000000"/>
      </top>
      <bottom style="thin">
        <color rgb="FF9FC5E8"/>
      </bottom>
    </border>
    <border>
      <left style="thin">
        <color rgb="FF9FC5E8"/>
      </left>
      <top style="thin">
        <color rgb="FF000000"/>
      </top>
      <bottom style="thin">
        <color rgb="FF9FC5E8"/>
      </bottom>
    </border>
    <border>
      <top style="thin">
        <color rgb="FF000000"/>
      </top>
      <bottom style="thin">
        <color rgb="FF9FC5E8"/>
      </bottom>
    </border>
    <border>
      <right style="thin">
        <color rgb="FF9FC5E8"/>
      </right>
      <top style="thin">
        <color rgb="FF000000"/>
      </top>
      <bottom style="thin">
        <color rgb="FF9FC5E8"/>
      </bottom>
    </border>
    <border>
      <left style="thin">
        <color rgb="FF9FC5E8"/>
      </left>
      <right style="thin">
        <color rgb="FF000000"/>
      </right>
      <top style="thin">
        <color rgb="FF000000"/>
      </top>
      <bottom style="thin">
        <color rgb="FF9FC5E8"/>
      </bottom>
    </border>
    <border>
      <left style="thin">
        <color rgb="FF000000"/>
      </left>
      <top style="thin">
        <color rgb="FF000000"/>
      </top>
      <bottom style="thin">
        <color rgb="FFF3F3F3"/>
      </bottom>
    </border>
    <border>
      <top style="thin">
        <color rgb="FF000000"/>
      </top>
      <bottom style="thin">
        <color rgb="FFF3F3F3"/>
      </bottom>
    </border>
    <border>
      <right style="thin">
        <color rgb="FF000000"/>
      </right>
      <top style="thin">
        <color rgb="FF000000"/>
      </top>
      <bottom style="thin">
        <color rgb="FFF3F3F3"/>
      </bottom>
    </border>
    <border>
      <left style="thin">
        <color rgb="FF000000"/>
      </left>
      <bottom style="thin">
        <color rgb="FF000000"/>
      </bottom>
    </border>
    <border>
      <right style="thin">
        <color rgb="FF000000"/>
      </right>
      <bottom style="thin">
        <color rgb="FF000000"/>
      </bottom>
    </border>
    <border>
      <left style="thin">
        <color rgb="FF000000"/>
      </left>
      <right style="thin">
        <color rgb="FFFFFFFF"/>
      </right>
      <bottom style="thin">
        <color rgb="FFFFFFFF"/>
      </bottom>
    </border>
    <border>
      <left style="thin">
        <color rgb="FFFFFFFF"/>
      </left>
      <right style="thin">
        <color rgb="FF000000"/>
      </right>
      <bottom style="thin">
        <color rgb="FFFFFFFF"/>
      </bottom>
    </border>
    <border>
      <left style="thin">
        <color rgb="FF000000"/>
      </left>
      <right style="thin">
        <color rgb="FFFFFFFF"/>
      </right>
      <top style="thin">
        <color rgb="FFF3F3F3"/>
      </top>
      <bottom style="thin">
        <color rgb="FFFFFFFF"/>
      </bottom>
    </border>
    <border>
      <left style="thin">
        <color rgb="FFFFFFFF"/>
      </left>
      <right style="thin">
        <color rgb="FFFFFFFF"/>
      </right>
      <top style="thin">
        <color rgb="FFF3F3F3"/>
      </top>
      <bottom style="thin">
        <color rgb="FFFFFFFF"/>
      </bottom>
    </border>
    <border>
      <left style="thin">
        <color rgb="FFFFFFFF"/>
      </left>
      <right style="thin">
        <color rgb="FF000000"/>
      </right>
      <top style="thin">
        <color rgb="FFF3F3F3"/>
      </top>
      <bottom style="thin">
        <color rgb="FFFFFFFF"/>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FFFFFF"/>
      </left>
      <right style="thin">
        <color rgb="FFFFFFFF"/>
      </right>
      <top style="thin">
        <color rgb="FFFFFFFF"/>
      </top>
    </border>
    <border>
      <left style="thin">
        <color rgb="FF000000"/>
      </left>
      <top style="thin">
        <color rgb="FFFFFFFF"/>
      </top>
      <bottom style="thin">
        <color rgb="FFFFFFFF"/>
      </bottom>
    </border>
    <border>
      <right style="thin">
        <color rgb="FF000000"/>
      </right>
      <top style="thin">
        <color rgb="FFFFFFFF"/>
      </top>
      <bottom style="thin">
        <color rgb="FFFFFFFF"/>
      </bottom>
    </border>
    <border>
      <left style="thin">
        <color rgb="FFFFFFFF"/>
      </left>
      <right style="thin">
        <color rgb="FFFFFFFF"/>
      </right>
      <bottom style="thin">
        <color rgb="FF000000"/>
      </bottom>
    </border>
    <border>
      <left style="thin">
        <color rgb="FFD0E0E3"/>
      </left>
      <right style="thin">
        <color rgb="FFD0E0E3"/>
      </right>
      <bottom style="thin">
        <color rgb="FFFFFFFF"/>
      </bottom>
    </border>
    <border>
      <left style="thin">
        <color rgb="FFD0E0E3"/>
      </left>
      <right style="thin">
        <color rgb="FFD0E0E3"/>
      </right>
      <top style="thin">
        <color rgb="FFD0E0E3"/>
      </top>
      <bottom style="thin">
        <color rgb="FFFFFFFF"/>
      </bottom>
    </border>
    <border>
      <left style="thin">
        <color rgb="FFFFFFFF"/>
      </left>
      <right style="thin">
        <color rgb="FFFFFFFF"/>
      </right>
      <top style="thin">
        <color rgb="FF000000"/>
      </top>
    </border>
    <border>
      <right style="thin">
        <color rgb="FFF3F3F3"/>
      </right>
      <top style="thin">
        <color rgb="FFD0E0E3"/>
      </top>
      <bottom style="thin">
        <color rgb="FFD0E0E3"/>
      </bottom>
    </border>
    <border>
      <left style="thin">
        <color rgb="FFFFFFFF"/>
      </left>
      <right style="thin">
        <color rgb="FFFFFFFF"/>
      </right>
      <top style="thin">
        <color rgb="FFD0E0E3"/>
      </top>
      <bottom style="thin">
        <color rgb="FFD0E0E3"/>
      </bottom>
    </border>
    <border>
      <left style="thin">
        <color rgb="FFFFF2CC"/>
      </left>
      <right style="thin">
        <color rgb="FFFFF2CC"/>
      </right>
      <top style="thin">
        <color rgb="FFFFF2CC"/>
      </top>
      <bottom style="thin">
        <color rgb="FFFFF2CC"/>
      </bottom>
    </border>
    <border>
      <left style="thin">
        <color rgb="FFFFF2CC"/>
      </left>
      <top style="thin">
        <color rgb="FFFFF2CC"/>
      </top>
      <bottom style="thin">
        <color rgb="FFFFF2CC"/>
      </bottom>
    </border>
    <border>
      <top style="thin">
        <color rgb="FFFFF2CC"/>
      </top>
      <bottom style="thin">
        <color rgb="FFFFF2CC"/>
      </bottom>
    </border>
    <border>
      <right style="thin">
        <color rgb="FFFFF2CC"/>
      </right>
      <top style="thin">
        <color rgb="FFFFF2CC"/>
      </top>
      <bottom style="thin">
        <color rgb="FFFFF2CC"/>
      </bottom>
    </border>
    <border>
      <left style="thin">
        <color rgb="FFFFFFFF"/>
      </left>
      <right style="thin">
        <color rgb="FFFFFFFF"/>
      </right>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666666"/>
      </left>
      <right style="thin">
        <color rgb="FFD9D9D9"/>
      </right>
      <top style="thin">
        <color rgb="FFD9D9D9"/>
      </top>
      <bottom style="thin">
        <color rgb="FF000000"/>
      </bottom>
    </border>
    <border>
      <left style="thin">
        <color rgb="FFD9D9D9"/>
      </left>
      <right style="thin">
        <color rgb="FFD9D9D9"/>
      </right>
      <top style="thin">
        <color rgb="FFD9D9D9"/>
      </top>
      <bottom style="thin">
        <color rgb="FF000000"/>
      </bottom>
    </border>
    <border>
      <left style="thin">
        <color rgb="FFD9D9D9"/>
      </left>
      <right style="thin">
        <color rgb="FFD9D9D9"/>
      </right>
      <top style="thin">
        <color rgb="FFD9D9D9"/>
      </top>
      <bottom style="thin">
        <color rgb="FF666666"/>
      </bottom>
    </border>
    <border>
      <left style="thin">
        <color rgb="FFD9D9D9"/>
      </left>
      <right style="thin">
        <color rgb="FF666666"/>
      </right>
      <top style="thin">
        <color rgb="FFD9D9D9"/>
      </top>
      <bottom style="thin">
        <color rgb="FF000000"/>
      </bottom>
    </border>
    <border>
      <left style="thin">
        <color rgb="FF000000"/>
      </left>
      <right style="thin">
        <color rgb="FFFFFFFF"/>
      </right>
      <top style="thin">
        <color rgb="FFFFFFFF"/>
      </top>
    </border>
    <border>
      <right style="thin">
        <color rgb="FF000000"/>
      </right>
      <top style="thin">
        <color rgb="FFFFFFFF"/>
      </top>
    </border>
    <border>
      <top style="thin">
        <color rgb="FFD0E0E3"/>
      </top>
      <bottom style="thin">
        <color rgb="FFD9D9D9"/>
      </bottom>
    </border>
    <border>
      <left style="thin">
        <color rgb="FF000000"/>
      </left>
      <top style="thin">
        <color rgb="FFFFFFFF"/>
      </top>
      <bottom style="thin">
        <color rgb="FF000000"/>
      </bottom>
    </border>
    <border>
      <right style="thin">
        <color rgb="FF000000"/>
      </right>
      <top style="thin">
        <color rgb="FFFFFFFF"/>
      </top>
      <bottom style="thin">
        <color rgb="FF000000"/>
      </bottom>
    </border>
    <border>
      <left style="thin">
        <color rgb="FFD0E0E3"/>
      </left>
      <right style="thin">
        <color rgb="FFD0E0E3"/>
      </right>
      <top style="thin">
        <color rgb="FFD9D9D9"/>
      </top>
      <bottom style="thin">
        <color rgb="FFF3F3F3"/>
      </bottom>
    </border>
    <border>
      <left style="thin">
        <color rgb="FFD0E0E3"/>
      </left>
      <right style="thin">
        <color rgb="FFD0E0E3"/>
      </right>
      <top style="thin">
        <color rgb="FFD9D9D9"/>
      </top>
      <bottom style="thin">
        <color rgb="FFD0E0E3"/>
      </bottom>
    </border>
    <border>
      <right style="thin">
        <color rgb="FFD9D9D9"/>
      </right>
      <top style="thin">
        <color rgb="FF000000"/>
      </top>
      <bottom style="thin">
        <color rgb="FFD9D9D9"/>
      </bottom>
    </border>
    <border>
      <left style="thin">
        <color rgb="FFD9D9D9"/>
      </left>
      <top style="thin">
        <color rgb="FF000000"/>
      </top>
      <bottom style="thin">
        <color rgb="FFD9D9D9"/>
      </bottom>
    </border>
    <border>
      <right style="thin">
        <color rgb="FFD9D9D9"/>
      </right>
      <top style="thin">
        <color rgb="FFD9D9D9"/>
      </top>
      <bottom style="thin">
        <color rgb="FFD9D9D9"/>
      </bottom>
    </border>
    <border>
      <left style="thin">
        <color rgb="FFD9D9D9"/>
      </left>
      <top style="thin">
        <color rgb="FFD9D9D9"/>
      </top>
      <bottom style="thin">
        <color rgb="FFD9D9D9"/>
      </bottom>
    </border>
    <border>
      <right style="thin">
        <color rgb="FFD9D9D9"/>
      </right>
      <top style="thin">
        <color rgb="FFD9D9D9"/>
      </top>
      <bottom style="thin">
        <color rgb="FF000000"/>
      </bottom>
    </border>
    <border>
      <left style="thin">
        <color rgb="FFD9D9D9"/>
      </left>
      <top style="thin">
        <color rgb="FFD9D9D9"/>
      </top>
      <bottom style="thin">
        <color rgb="FF000000"/>
      </bottom>
    </border>
    <border>
      <left style="thin">
        <color rgb="FFD0E0E3"/>
      </left>
      <bottom style="thin">
        <color rgb="FFD0E0E3"/>
      </bottom>
    </border>
    <border>
      <bottom style="thin">
        <color rgb="FFD0E0E3"/>
      </bottom>
    </border>
    <border>
      <right style="thin">
        <color rgb="FFD0E0E3"/>
      </right>
      <bottom style="thin">
        <color rgb="FFD0E0E3"/>
      </bottom>
    </border>
  </borders>
  <cellStyleXfs count="1">
    <xf borderId="0" fillId="0" fontId="0" numFmtId="0" applyAlignment="1" applyFont="1"/>
  </cellStyleXfs>
  <cellXfs count="322">
    <xf borderId="0" fillId="0" fontId="0" numFmtId="0" xfId="0" applyAlignment="1" applyFont="1">
      <alignment readingOrder="0" shrinkToFit="0" vertical="bottom" wrapText="0"/>
    </xf>
    <xf borderId="1" fillId="2" fontId="1" numFmtId="0" xfId="0" applyAlignment="1" applyBorder="1" applyFill="1" applyFont="1">
      <alignment readingOrder="0" shrinkToFit="0" vertical="center" wrapText="1"/>
    </xf>
    <xf borderId="1" fillId="2" fontId="2" numFmtId="0" xfId="0" applyAlignment="1" applyBorder="1" applyFill="1" applyFont="1">
      <alignment horizontal="center" readingOrder="0"/>
    </xf>
    <xf borderId="2" fillId="0" fontId="3" numFmtId="0" xfId="0" applyBorder="1" applyFont="1"/>
    <xf borderId="3" fillId="0" fontId="3" numFmtId="0" xfId="0" applyBorder="1" applyFont="1"/>
    <xf borderId="4" fillId="3" fontId="2" numFmtId="0" xfId="0" applyAlignment="1" applyBorder="1" applyFill="1" applyFont="1">
      <alignment horizontal="center" readingOrder="0"/>
    </xf>
    <xf borderId="1" fillId="2" fontId="4" numFmtId="0" xfId="0" applyAlignment="1" applyBorder="1" applyFill="1" applyFont="1">
      <alignment horizontal="center"/>
    </xf>
    <xf borderId="5" fillId="3" fontId="1" numFmtId="0" xfId="0" applyAlignment="1" applyBorder="1" applyFill="1" applyFont="1">
      <alignment readingOrder="0" shrinkToFit="0" vertical="center" wrapText="1"/>
    </xf>
    <xf borderId="6" fillId="3" fontId="2" numFmtId="0" xfId="0" applyAlignment="1" applyBorder="1" applyFill="1" applyFont="1">
      <alignment horizontal="center" readingOrder="0" shrinkToFit="0" wrapText="1"/>
    </xf>
    <xf borderId="7" fillId="3" fontId="1" numFmtId="0" xfId="0" applyAlignment="1" applyBorder="1" applyFill="1" applyFont="1">
      <alignment readingOrder="0" shrinkToFit="0" vertical="center" wrapText="1"/>
    </xf>
    <xf borderId="8" fillId="0" fontId="3" numFmtId="0" xfId="0" applyBorder="1" applyFont="1"/>
    <xf borderId="6" fillId="3" fontId="2" numFmtId="164" xfId="0" applyAlignment="1" applyBorder="1" applyFill="1" applyFont="1" applyNumberFormat="1">
      <alignment horizontal="center" readingOrder="0"/>
    </xf>
    <xf borderId="5" fillId="3" fontId="4" numFmtId="0" xfId="0" applyAlignment="1" applyBorder="1" applyFill="1" applyFont="1">
      <alignment horizontal="center"/>
    </xf>
    <xf borderId="9" fillId="3" fontId="2" numFmtId="49" xfId="0" applyAlignment="1" applyBorder="1" applyFill="1" applyFont="1" applyNumberFormat="1">
      <alignment horizontal="center" readingOrder="0"/>
    </xf>
    <xf borderId="4" fillId="3" fontId="2" numFmtId="164" xfId="0" applyAlignment="1" applyBorder="1" applyFill="1" applyFont="1" applyNumberFormat="1">
      <alignment horizontal="center" readingOrder="0"/>
    </xf>
    <xf borderId="10" fillId="3" fontId="4" numFmtId="0" xfId="0" applyAlignment="1" applyBorder="1" applyFill="1" applyFont="1">
      <alignment horizontal="center"/>
    </xf>
    <xf borderId="9" fillId="3" fontId="2" numFmtId="0" xfId="0" applyAlignment="1" applyBorder="1" applyFill="1" applyFont="1">
      <alignment horizontal="center" readingOrder="0"/>
    </xf>
    <xf borderId="11" fillId="2" fontId="2" numFmtId="49" xfId="0" applyAlignment="1" applyBorder="1" applyFill="1" applyFont="1" applyNumberFormat="1">
      <alignment horizontal="center" readingOrder="0"/>
    </xf>
    <xf borderId="12" fillId="2" fontId="2" numFmtId="49" xfId="0" applyAlignment="1" applyBorder="1" applyFill="1" applyFont="1" applyNumberFormat="1">
      <alignment horizontal="center" readingOrder="0"/>
    </xf>
    <xf borderId="13" fillId="2" fontId="2" numFmtId="0" xfId="0" applyAlignment="1" applyBorder="1" applyFill="1" applyFont="1">
      <alignment horizontal="center" readingOrder="0" shrinkToFit="0" vertical="center" wrapText="1"/>
    </xf>
    <xf borderId="9" fillId="3" fontId="4" numFmtId="0" xfId="0" applyAlignment="1" applyBorder="1" applyFill="1" applyFont="1">
      <alignment horizontal="center"/>
    </xf>
    <xf borderId="12" fillId="2" fontId="2" numFmtId="164" xfId="0" applyAlignment="1" applyBorder="1" applyFill="1" applyFont="1" applyNumberFormat="1">
      <alignment horizontal="center" readingOrder="0"/>
    </xf>
    <xf borderId="14" fillId="2" fontId="2" numFmtId="164" xfId="0" applyAlignment="1" applyBorder="1" applyFill="1" applyFont="1" applyNumberFormat="1">
      <alignment horizontal="center" readingOrder="0" vertical="center"/>
    </xf>
    <xf borderId="12" fillId="2" fontId="2" numFmtId="3" xfId="0" applyAlignment="1" applyBorder="1" applyFill="1" applyFont="1" applyNumberFormat="1">
      <alignment horizontal="center" readingOrder="0"/>
    </xf>
    <xf borderId="15" fillId="3" fontId="2" numFmtId="164" xfId="0" applyAlignment="1" applyBorder="1" applyFill="1" applyFont="1" applyNumberFormat="1">
      <alignment horizontal="center" readingOrder="0"/>
    </xf>
    <xf borderId="9" fillId="3" fontId="1" numFmtId="0" xfId="0" applyAlignment="1" applyBorder="1" applyFill="1" applyFont="1">
      <alignment horizontal="left" readingOrder="0"/>
    </xf>
    <xf borderId="16" fillId="2" fontId="5" numFmtId="0" xfId="0" applyAlignment="1" applyBorder="1" applyFill="1" applyFont="1">
      <alignment horizontal="center" readingOrder="0"/>
    </xf>
    <xf borderId="17" fillId="0" fontId="3" numFmtId="0" xfId="0" applyBorder="1" applyFont="1"/>
    <xf borderId="12" fillId="2" fontId="2" numFmtId="0" xfId="0" applyAlignment="1" applyBorder="1" applyFill="1" applyFont="1">
      <alignment horizontal="center" readingOrder="0"/>
    </xf>
    <xf borderId="18" fillId="0" fontId="3" numFmtId="0" xfId="0" applyBorder="1" applyFont="1"/>
    <xf borderId="19" fillId="4" fontId="6" numFmtId="0" xfId="0" applyAlignment="1" applyBorder="1" applyFill="1" applyFont="1">
      <alignment horizontal="left" readingOrder="0" shrinkToFit="0" wrapText="1"/>
    </xf>
    <xf borderId="20" fillId="2" fontId="2" numFmtId="165" xfId="0" applyAlignment="1" applyBorder="1" applyFill="1" applyFont="1" applyNumberFormat="1">
      <alignment horizontal="center" readingOrder="0"/>
    </xf>
    <xf borderId="21" fillId="4" fontId="6" numFmtId="164" xfId="0" applyAlignment="1" applyBorder="1" applyFill="1" applyFont="1" applyNumberFormat="1">
      <alignment horizontal="center" readingOrder="0"/>
    </xf>
    <xf borderId="15" fillId="3" fontId="4" numFmtId="0" xfId="0" applyAlignment="1" applyBorder="1" applyFill="1" applyFont="1">
      <alignment horizontal="center"/>
    </xf>
    <xf borderId="15" fillId="3" fontId="2" numFmtId="165" xfId="0" applyAlignment="1" applyBorder="1" applyFill="1" applyFont="1" applyNumberFormat="1">
      <alignment horizontal="center" readingOrder="0"/>
    </xf>
    <xf borderId="15" fillId="3" fontId="1" numFmtId="164" xfId="0" applyAlignment="1" applyBorder="1" applyFill="1" applyFont="1" applyNumberFormat="1">
      <alignment horizontal="right" readingOrder="0"/>
    </xf>
    <xf borderId="9" fillId="3" fontId="1" numFmtId="49" xfId="0" applyAlignment="1" applyBorder="1" applyFill="1" applyFont="1" applyNumberFormat="1">
      <alignment horizontal="left" readingOrder="0"/>
    </xf>
    <xf borderId="22" fillId="4" fontId="6" numFmtId="49" xfId="0" applyAlignment="1" applyBorder="1" applyFill="1" applyFont="1" applyNumberFormat="1">
      <alignment horizontal="left" readingOrder="0"/>
    </xf>
    <xf borderId="9" fillId="3" fontId="1" numFmtId="0" xfId="0" applyAlignment="1" applyBorder="1" applyFill="1" applyFont="1">
      <alignment horizontal="center"/>
    </xf>
    <xf borderId="24" fillId="4" fontId="6" numFmtId="49" xfId="0" applyAlignment="1" applyBorder="1" applyFill="1" applyFont="1" applyNumberFormat="1">
      <alignment horizontal="left" readingOrder="0"/>
    </xf>
    <xf borderId="23" fillId="4" fontId="6" numFmtId="0" xfId="0" applyAlignment="1" applyBorder="1" applyFill="1" applyFont="1">
      <alignment horizontal="center" readingOrder="0"/>
    </xf>
    <xf borderId="15" fillId="3" fontId="1" numFmtId="164" xfId="0" applyAlignment="1" applyBorder="1" applyFill="1" applyFont="1" applyNumberFormat="1">
      <alignment horizontal="center"/>
    </xf>
    <xf borderId="25" fillId="0" fontId="3" numFmtId="0" xfId="0" applyBorder="1" applyFont="1"/>
    <xf borderId="24" fillId="4" fontId="6" numFmtId="164" xfId="0" applyAlignment="1" applyBorder="1" applyFill="1" applyFont="1" applyNumberFormat="1">
      <alignment horizontal="center" readingOrder="0"/>
    </xf>
    <xf borderId="26" fillId="0" fontId="3" numFmtId="0" xfId="0" applyBorder="1" applyFont="1"/>
    <xf borderId="24" fillId="4" fontId="6" numFmtId="3" xfId="0" applyAlignment="1" applyBorder="1" applyFill="1" applyFont="1" applyNumberFormat="1">
      <alignment horizontal="center" readingOrder="0"/>
    </xf>
    <xf borderId="21" fillId="4" fontId="6" numFmtId="164" xfId="0" applyAlignment="1" applyBorder="1" applyFill="1" applyFont="1" applyNumberFormat="1">
      <alignment horizontal="center"/>
    </xf>
    <xf borderId="27" fillId="4" fontId="6" numFmtId="0" xfId="0" applyAlignment="1" applyBorder="1" applyFill="1" applyFont="1">
      <alignment horizontal="left" readingOrder="0" shrinkToFit="0" wrapText="1"/>
    </xf>
    <xf borderId="24" fillId="4" fontId="6" numFmtId="0" xfId="0" applyAlignment="1" applyBorder="1" applyFill="1" applyFont="1">
      <alignment horizontal="center" readingOrder="0"/>
    </xf>
    <xf borderId="28" fillId="4" fontId="6" numFmtId="164" xfId="0" applyAlignment="1" applyBorder="1" applyFill="1" applyFont="1" applyNumberFormat="1">
      <alignment horizontal="center"/>
    </xf>
    <xf borderId="29" fillId="4" fontId="6" numFmtId="0" xfId="0" applyAlignment="1" applyBorder="1" applyFill="1" applyFont="1">
      <alignment horizontal="left" readingOrder="0" shrinkToFit="0" wrapText="1"/>
    </xf>
    <xf borderId="30" fillId="4" fontId="6" numFmtId="164" xfId="0" applyAlignment="1" applyBorder="1" applyFill="1" applyFont="1" applyNumberFormat="1">
      <alignment horizontal="center"/>
    </xf>
    <xf borderId="4" fillId="3" fontId="1" numFmtId="0" xfId="0" applyAlignment="1" applyBorder="1" applyFill="1" applyFont="1">
      <alignment horizontal="center"/>
    </xf>
    <xf borderId="31" fillId="5" fontId="7" numFmtId="0" xfId="0" applyAlignment="1" applyBorder="1" applyFill="1" applyFont="1">
      <alignment horizontal="right" readingOrder="0" shrinkToFit="0" wrapText="1"/>
    </xf>
    <xf borderId="32" fillId="5" fontId="6" numFmtId="165" xfId="0" applyAlignment="1" applyBorder="1" applyFill="1" applyFont="1" applyNumberFormat="1">
      <alignment horizontal="center"/>
    </xf>
    <xf borderId="15" fillId="3" fontId="1" numFmtId="165" xfId="0" applyAlignment="1" applyBorder="1" applyFill="1" applyFont="1" applyNumberFormat="1">
      <alignment horizontal="center"/>
    </xf>
    <xf borderId="33" fillId="4" fontId="6" numFmtId="49" xfId="0" applyAlignment="1" applyBorder="1" applyFill="1" applyFont="1" applyNumberFormat="1">
      <alignment horizontal="left" readingOrder="0"/>
    </xf>
    <xf borderId="34" fillId="4" fontId="6" numFmtId="49" xfId="0" applyAlignment="1" applyBorder="1" applyFill="1" applyFont="1" applyNumberFormat="1">
      <alignment horizontal="left" readingOrder="0"/>
    </xf>
    <xf borderId="34" fillId="4" fontId="6" numFmtId="164" xfId="0" applyAlignment="1" applyBorder="1" applyFill="1" applyFont="1" applyNumberFormat="1">
      <alignment horizontal="center" readingOrder="0"/>
    </xf>
    <xf borderId="35" fillId="5" fontId="6" numFmtId="164" xfId="0" applyAlignment="1" applyBorder="1" applyFill="1" applyFont="1" applyNumberFormat="1">
      <alignment horizontal="center"/>
    </xf>
    <xf borderId="34" fillId="4" fontId="6" numFmtId="3" xfId="0" applyAlignment="1" applyBorder="1" applyFill="1" applyFont="1" applyNumberFormat="1">
      <alignment horizontal="center" readingOrder="0"/>
    </xf>
    <xf borderId="4" fillId="3" fontId="1" numFmtId="164" xfId="0" applyAlignment="1" applyBorder="1" applyFill="1" applyFont="1" applyNumberFormat="1">
      <alignment horizontal="center"/>
    </xf>
    <xf borderId="34" fillId="4" fontId="6" numFmtId="0" xfId="0" applyAlignment="1" applyBorder="1" applyFill="1" applyFont="1">
      <alignment horizontal="center" readingOrder="0"/>
    </xf>
    <xf borderId="36" fillId="5" fontId="6" numFmtId="165" xfId="0" applyAlignment="1" applyBorder="1" applyFill="1" applyFont="1" applyNumberFormat="1">
      <alignment horizontal="center"/>
    </xf>
    <xf borderId="37" fillId="5" fontId="6" numFmtId="0" xfId="0" applyAlignment="1" applyBorder="1" applyFill="1" applyFont="1">
      <alignment horizontal="right" readingOrder="0" shrinkToFit="0" wrapText="1"/>
    </xf>
    <xf borderId="38" fillId="5" fontId="6" numFmtId="164" xfId="0" applyAlignment="1" applyBorder="1" applyFill="1" applyFont="1" applyNumberFormat="1">
      <alignment horizontal="center"/>
    </xf>
    <xf borderId="39" fillId="6" fontId="8" numFmtId="0" xfId="0" applyAlignment="1" applyBorder="1" applyFill="1" applyFont="1">
      <alignment horizontal="right" readingOrder="0" shrinkToFit="0" wrapText="1"/>
    </xf>
    <xf borderId="9" fillId="3" fontId="1" numFmtId="49" xfId="0" applyBorder="1" applyFill="1" applyFont="1" applyNumberFormat="1"/>
    <xf borderId="40" fillId="6" fontId="8" numFmtId="164" xfId="0" applyAlignment="1" applyBorder="1" applyFill="1" applyFont="1" applyNumberFormat="1">
      <alignment horizontal="center"/>
    </xf>
    <xf borderId="33" fillId="4" fontId="6" numFmtId="49" xfId="0" applyAlignment="1" applyBorder="1" applyFill="1" applyFont="1" applyNumberFormat="1">
      <alignment readingOrder="0"/>
    </xf>
    <xf borderId="4" fillId="3" fontId="6" numFmtId="0" xfId="0" applyAlignment="1" applyBorder="1" applyFill="1" applyFont="1">
      <alignment horizontal="left" readingOrder="0" shrinkToFit="0" wrapText="1"/>
    </xf>
    <xf borderId="34" fillId="4" fontId="6" numFmtId="49" xfId="0" applyAlignment="1" applyBorder="1" applyFill="1" applyFont="1" applyNumberFormat="1">
      <alignment readingOrder="0"/>
    </xf>
    <xf borderId="4" fillId="3" fontId="6" numFmtId="164" xfId="0" applyAlignment="1" applyBorder="1" applyFill="1" applyFont="1" applyNumberFormat="1">
      <alignment horizontal="center"/>
    </xf>
    <xf borderId="33" fillId="4" fontId="6" numFmtId="49" xfId="0" applyBorder="1" applyFill="1" applyFont="1" applyNumberFormat="1"/>
    <xf borderId="34" fillId="4" fontId="6" numFmtId="49" xfId="0" applyBorder="1" applyFill="1" applyFont="1" applyNumberFormat="1"/>
    <xf borderId="34" fillId="4" fontId="6" numFmtId="164" xfId="0" applyAlignment="1" applyBorder="1" applyFill="1" applyFont="1" applyNumberFormat="1">
      <alignment horizontal="center"/>
    </xf>
    <xf borderId="34" fillId="4" fontId="6" numFmtId="3" xfId="0" applyAlignment="1" applyBorder="1" applyFill="1" applyFont="1" applyNumberFormat="1">
      <alignment horizontal="center"/>
    </xf>
    <xf borderId="9" fillId="3" fontId="1" numFmtId="49" xfId="0" applyAlignment="1" applyBorder="1" applyFill="1" applyFont="1" applyNumberFormat="1">
      <alignment readingOrder="0"/>
    </xf>
    <xf borderId="41" fillId="2" fontId="4" numFmtId="0" xfId="0" applyBorder="1" applyFill="1" applyFont="1"/>
    <xf borderId="41" fillId="2" fontId="4" numFmtId="0" xfId="0" applyAlignment="1" applyBorder="1" applyFill="1" applyFont="1">
      <alignment horizontal="center"/>
    </xf>
    <xf borderId="41" fillId="2" fontId="4" numFmtId="164" xfId="0" applyAlignment="1" applyBorder="1" applyFill="1" applyFont="1" applyNumberFormat="1">
      <alignment horizontal="center"/>
    </xf>
    <xf borderId="23" fillId="4" fontId="6" numFmtId="0" xfId="0" applyAlignment="1" applyBorder="1" applyFill="1" applyFont="1">
      <alignment horizontal="center"/>
    </xf>
    <xf borderId="0" fillId="2" fontId="4" numFmtId="0" xfId="0" applyAlignment="1" applyFill="1" applyFont="1">
      <alignment horizontal="left"/>
    </xf>
    <xf borderId="4" fillId="3" fontId="4" numFmtId="0" xfId="0" applyBorder="1" applyFill="1" applyFont="1"/>
    <xf borderId="4" fillId="3" fontId="4" numFmtId="0" xfId="0" applyAlignment="1" applyBorder="1" applyFill="1" applyFont="1">
      <alignment horizontal="center"/>
    </xf>
    <xf borderId="4" fillId="3" fontId="4" numFmtId="164" xfId="0" applyAlignment="1" applyBorder="1" applyFill="1" applyFont="1" applyNumberFormat="1">
      <alignment horizontal="center"/>
    </xf>
    <xf borderId="4" fillId="3" fontId="9" numFmtId="0" xfId="0" applyBorder="1" applyFill="1" applyFont="1"/>
    <xf borderId="0" fillId="3" fontId="4" numFmtId="0" xfId="0" applyAlignment="1" applyFill="1" applyFont="1">
      <alignment horizontal="left"/>
    </xf>
    <xf borderId="6" fillId="3" fontId="4" numFmtId="0" xfId="0" applyBorder="1" applyFill="1" applyFont="1"/>
    <xf borderId="6" fillId="3" fontId="4" numFmtId="0" xfId="0" applyAlignment="1" applyBorder="1" applyFill="1" applyFont="1">
      <alignment horizontal="center"/>
    </xf>
    <xf borderId="6" fillId="3" fontId="4" numFmtId="164" xfId="0" applyAlignment="1" applyBorder="1" applyFill="1" applyFont="1" applyNumberFormat="1">
      <alignment horizontal="center"/>
    </xf>
    <xf borderId="9" fillId="3" fontId="4" numFmtId="0" xfId="0" applyAlignment="1" applyBorder="1" applyFill="1" applyFont="1">
      <alignment vertical="center"/>
    </xf>
    <xf borderId="42" fillId="2" fontId="5" numFmtId="0" xfId="0" applyAlignment="1" applyBorder="1" applyFill="1" applyFont="1">
      <alignment horizontal="center" readingOrder="0" vertical="center"/>
    </xf>
    <xf borderId="43" fillId="2" fontId="5" numFmtId="0" xfId="0" applyAlignment="1" applyBorder="1" applyFill="1" applyFont="1">
      <alignment horizontal="center" readingOrder="0" shrinkToFit="0" vertical="center" wrapText="1"/>
    </xf>
    <xf borderId="43" fillId="7" fontId="5" numFmtId="0" xfId="0" applyAlignment="1" applyBorder="1" applyFill="1" applyFont="1">
      <alignment horizontal="center" readingOrder="0" shrinkToFit="0" vertical="center" wrapText="1"/>
    </xf>
    <xf borderId="43" fillId="8" fontId="5" numFmtId="164" xfId="0" applyAlignment="1" applyBorder="1" applyFill="1" applyFont="1" applyNumberFormat="1">
      <alignment horizontal="center" readingOrder="0" shrinkToFit="0" vertical="center" wrapText="1"/>
    </xf>
    <xf borderId="44" fillId="8" fontId="5" numFmtId="164" xfId="0" applyAlignment="1" applyBorder="1" applyFill="1" applyFont="1" applyNumberFormat="1">
      <alignment horizontal="center" readingOrder="0" shrinkToFit="0" vertical="center" wrapText="1"/>
    </xf>
    <xf borderId="15" fillId="3" fontId="4" numFmtId="0" xfId="0" applyAlignment="1" applyBorder="1" applyFill="1" applyFont="1">
      <alignment vertical="center"/>
    </xf>
    <xf borderId="6" fillId="3" fontId="9" numFmtId="0" xfId="0" applyAlignment="1" applyBorder="1" applyFill="1" applyFont="1">
      <alignment vertical="center"/>
    </xf>
    <xf borderId="4" fillId="3" fontId="4" numFmtId="0" xfId="0" applyAlignment="1" applyBorder="1" applyFill="1" applyFont="1">
      <alignment vertical="center"/>
    </xf>
    <xf borderId="0" fillId="3" fontId="4" numFmtId="0" xfId="0" applyAlignment="1" applyFill="1" applyFont="1">
      <alignment horizontal="left" readingOrder="0" vertical="center"/>
    </xf>
    <xf borderId="9" fillId="3" fontId="4" numFmtId="0" xfId="0" applyBorder="1" applyFill="1" applyFont="1"/>
    <xf borderId="19" fillId="4" fontId="6" numFmtId="0" xfId="0" applyAlignment="1" applyBorder="1" applyFill="1" applyFont="1">
      <alignment readingOrder="0"/>
    </xf>
    <xf borderId="34" fillId="5" fontId="6" numFmtId="164" xfId="0" applyAlignment="1" applyBorder="1" applyFill="1" applyFont="1" applyNumberFormat="1">
      <alignment horizontal="center"/>
    </xf>
    <xf borderId="45" fillId="4" fontId="6" numFmtId="0" xfId="0" applyAlignment="1" applyBorder="1" applyFill="1" applyFont="1">
      <alignment horizontal="center"/>
    </xf>
    <xf borderId="46" fillId="0" fontId="3" numFmtId="0" xfId="0" applyBorder="1" applyFont="1"/>
    <xf borderId="47" fillId="0" fontId="3" numFmtId="0" xfId="0" applyBorder="1" applyFont="1"/>
    <xf borderId="5" fillId="3" fontId="6" numFmtId="0" xfId="0" applyAlignment="1" applyBorder="1" applyFill="1" applyFont="1">
      <alignment horizontal="center"/>
    </xf>
    <xf borderId="21" fillId="5" fontId="6" numFmtId="164" xfId="0" applyAlignment="1" applyBorder="1" applyFill="1" applyFont="1" applyNumberFormat="1">
      <alignment horizontal="center"/>
    </xf>
    <xf borderId="48" fillId="3" fontId="4" numFmtId="0" xfId="0" applyBorder="1" applyFill="1" applyFont="1"/>
    <xf borderId="49" fillId="5" fontId="4" numFmtId="0" xfId="0" applyBorder="1" applyFill="1" applyFont="1"/>
    <xf borderId="50" fillId="0" fontId="9" numFmtId="0" xfId="0" applyBorder="1" applyFont="1"/>
    <xf borderId="50" fillId="5" fontId="4" numFmtId="0" xfId="0" applyBorder="1" applyFill="1" applyFont="1"/>
    <xf borderId="51" fillId="5" fontId="4" numFmtId="0" xfId="0" applyBorder="1" applyFill="1" applyFont="1"/>
    <xf borderId="15" fillId="3" fontId="4" numFmtId="0" xfId="0" applyBorder="1" applyFill="1" applyFont="1"/>
    <xf borderId="0" fillId="3" fontId="4" numFmtId="164" xfId="0" applyAlignment="1" applyFill="1" applyFont="1" applyNumberFormat="1">
      <alignment horizontal="left"/>
    </xf>
    <xf borderId="52" fillId="5" fontId="4" numFmtId="0" xfId="0" applyBorder="1" applyFill="1" applyFont="1"/>
    <xf borderId="53" fillId="5" fontId="10" numFmtId="0" xfId="0" applyAlignment="1" applyBorder="1" applyFill="1" applyFont="1">
      <alignment readingOrder="0"/>
    </xf>
    <xf borderId="53" fillId="5" fontId="4" numFmtId="0" xfId="0" applyBorder="1" applyFill="1" applyFont="1"/>
    <xf borderId="54" fillId="5" fontId="4" numFmtId="0" xfId="0" applyBorder="1" applyFill="1" applyFont="1"/>
    <xf borderId="53" fillId="0" fontId="9" numFmtId="0" xfId="0" applyBorder="1" applyFont="1"/>
    <xf borderId="19" fillId="4" fontId="6" numFmtId="0" xfId="0" applyBorder="1" applyFill="1" applyFont="1"/>
    <xf borderId="34" fillId="4" fontId="6" numFmtId="0" xfId="0" applyAlignment="1" applyBorder="1" applyFill="1" applyFont="1">
      <alignment horizontal="center"/>
    </xf>
    <xf borderId="53" fillId="5" fontId="4" numFmtId="0" xfId="0" applyAlignment="1" applyBorder="1" applyFill="1" applyFont="1">
      <alignment readingOrder="0"/>
    </xf>
    <xf borderId="55" fillId="5" fontId="4" numFmtId="164" xfId="0" applyBorder="1" applyFill="1" applyFont="1" applyNumberFormat="1"/>
    <xf borderId="56" fillId="0" fontId="3" numFmtId="0" xfId="0" applyBorder="1" applyFont="1"/>
    <xf borderId="57" fillId="0" fontId="3" numFmtId="0" xfId="0" applyBorder="1" applyFont="1"/>
    <xf borderId="58" fillId="0" fontId="4" numFmtId="0" xfId="0" applyAlignment="1" applyBorder="1" applyFont="1">
      <alignment readingOrder="0"/>
    </xf>
    <xf borderId="58" fillId="0" fontId="9" numFmtId="0" xfId="0" applyBorder="1" applyFont="1"/>
    <xf borderId="59" fillId="0" fontId="4" numFmtId="166" xfId="0" applyBorder="1" applyFont="1" applyNumberFormat="1"/>
    <xf borderId="60" fillId="0" fontId="3" numFmtId="0" xfId="0" applyBorder="1" applyFont="1"/>
    <xf borderId="61" fillId="0" fontId="3" numFmtId="0" xfId="0" applyBorder="1" applyFont="1"/>
    <xf borderId="62" fillId="0" fontId="9" numFmtId="0" xfId="0" applyBorder="1" applyFont="1"/>
    <xf borderId="53" fillId="0" fontId="4" numFmtId="0" xfId="0" applyAlignment="1" applyBorder="1" applyFont="1">
      <alignment readingOrder="0"/>
    </xf>
    <xf borderId="53" fillId="0" fontId="4" numFmtId="0" xfId="0" applyBorder="1" applyFont="1"/>
    <xf borderId="55" fillId="0" fontId="4" numFmtId="164" xfId="0" applyBorder="1" applyFont="1" applyNumberFormat="1"/>
    <xf borderId="58" fillId="5" fontId="1" numFmtId="0" xfId="0" applyAlignment="1" applyBorder="1" applyFill="1" applyFont="1">
      <alignment readingOrder="0"/>
    </xf>
    <xf borderId="58" fillId="5" fontId="6" numFmtId="0" xfId="0" applyBorder="1" applyFill="1" applyFont="1"/>
    <xf borderId="58" fillId="5" fontId="4" numFmtId="0" xfId="0" applyBorder="1" applyFill="1" applyFont="1"/>
    <xf borderId="59" fillId="5" fontId="1" numFmtId="166" xfId="0" applyBorder="1" applyFill="1" applyFont="1" applyNumberFormat="1"/>
    <xf borderId="62" fillId="0" fontId="4" numFmtId="0" xfId="0" applyBorder="1" applyFont="1"/>
    <xf borderId="58" fillId="5" fontId="1" numFmtId="0" xfId="0" applyBorder="1" applyFill="1" applyFont="1"/>
    <xf borderId="53" fillId="5" fontId="10" numFmtId="0" xfId="0" applyBorder="1" applyFill="1" applyFont="1"/>
    <xf borderId="55" fillId="5" fontId="10" numFmtId="164" xfId="0" applyBorder="1" applyFill="1" applyFont="1" applyNumberFormat="1"/>
    <xf borderId="53" fillId="5" fontId="1" numFmtId="0" xfId="0" applyAlignment="1" applyBorder="1" applyFill="1" applyFont="1">
      <alignment readingOrder="0"/>
    </xf>
    <xf borderId="53" fillId="5" fontId="6" numFmtId="0" xfId="0" applyBorder="1" applyFill="1" applyFont="1"/>
    <xf borderId="55" fillId="5" fontId="4" numFmtId="10" xfId="0" applyBorder="1" applyFill="1" applyFont="1" applyNumberFormat="1"/>
    <xf borderId="63" fillId="5" fontId="4" numFmtId="0" xfId="0" applyAlignment="1" applyBorder="1" applyFill="1" applyFont="1">
      <alignment readingOrder="0" shrinkToFit="0" vertical="top" wrapText="1"/>
    </xf>
    <xf borderId="64" fillId="0" fontId="3" numFmtId="0" xfId="0" applyBorder="1" applyFont="1"/>
    <xf borderId="65" fillId="0" fontId="3" numFmtId="0" xfId="0" applyBorder="1" applyFont="1"/>
    <xf borderId="66" fillId="0" fontId="3" numFmtId="0" xfId="0" applyBorder="1" applyFont="1"/>
    <xf borderId="67" fillId="0" fontId="3" numFmtId="0" xfId="0" applyBorder="1" applyFont="1"/>
    <xf borderId="68" fillId="5" fontId="4" numFmtId="0" xfId="0" applyBorder="1" applyFill="1" applyFont="1"/>
    <xf borderId="69" fillId="0" fontId="3" numFmtId="0" xfId="0" applyBorder="1" applyFont="1"/>
    <xf borderId="70" fillId="0" fontId="3" numFmtId="0" xfId="0" applyBorder="1" applyFont="1"/>
    <xf borderId="71" fillId="0" fontId="3" numFmtId="0" xfId="0" applyBorder="1" applyFont="1"/>
    <xf borderId="72" fillId="5" fontId="4" numFmtId="0" xfId="0" applyBorder="1" applyFill="1" applyFont="1"/>
    <xf borderId="5" fillId="3" fontId="4" numFmtId="0" xfId="0" applyBorder="1" applyFill="1" applyFont="1"/>
    <xf borderId="5" fillId="3" fontId="9" numFmtId="0" xfId="0" applyBorder="1" applyFill="1" applyFont="1"/>
    <xf borderId="4" fillId="3" fontId="4" numFmtId="0" xfId="0" applyAlignment="1" applyBorder="1" applyFill="1" applyFont="1">
      <alignment readingOrder="0"/>
    </xf>
    <xf borderId="1" fillId="2" fontId="4" numFmtId="0" xfId="0" applyBorder="1" applyFill="1" applyFont="1"/>
    <xf borderId="10" fillId="3" fontId="4" numFmtId="0" xfId="0" applyBorder="1" applyFill="1" applyFont="1"/>
    <xf borderId="73" fillId="3" fontId="4" numFmtId="0" xfId="0" applyBorder="1" applyFill="1" applyFont="1"/>
    <xf borderId="74" fillId="2" fontId="5" numFmtId="0" xfId="0" applyAlignment="1" applyBorder="1" applyFill="1" applyFont="1">
      <alignment horizontal="center" readingOrder="0"/>
    </xf>
    <xf borderId="75" fillId="0" fontId="3" numFmtId="0" xfId="0" applyBorder="1" applyFont="1"/>
    <xf borderId="76" fillId="0" fontId="3" numFmtId="0" xfId="0" applyBorder="1" applyFont="1"/>
    <xf borderId="77" fillId="9" fontId="4" numFmtId="0" xfId="0" applyAlignment="1" applyBorder="1" applyFill="1" applyFont="1">
      <alignment readingOrder="0"/>
    </xf>
    <xf borderId="78" fillId="9" fontId="5" numFmtId="0" xfId="0" applyAlignment="1" applyBorder="1" applyFill="1" applyFont="1">
      <alignment horizontal="center" readingOrder="0"/>
    </xf>
    <xf borderId="79" fillId="9" fontId="11" numFmtId="0" xfId="0" applyAlignment="1" applyBorder="1" applyFill="1" applyFont="1">
      <alignment horizontal="center" readingOrder="0"/>
    </xf>
    <xf borderId="80" fillId="0" fontId="3" numFmtId="0" xfId="0" applyBorder="1" applyFont="1"/>
    <xf borderId="81" fillId="0" fontId="3" numFmtId="0" xfId="0" applyBorder="1" applyFont="1"/>
    <xf borderId="78" fillId="9" fontId="12" numFmtId="0" xfId="0" applyAlignment="1" applyBorder="1" applyFill="1" applyFont="1">
      <alignment horizontal="center" readingOrder="0"/>
    </xf>
    <xf borderId="82" fillId="9" fontId="4" numFmtId="0" xfId="0" applyBorder="1" applyFill="1" applyFont="1"/>
    <xf borderId="48" fillId="3" fontId="5" numFmtId="0" xfId="0" applyAlignment="1" applyBorder="1" applyFill="1" applyFont="1">
      <alignment horizontal="center" readingOrder="0"/>
    </xf>
    <xf borderId="83" fillId="2" fontId="5" numFmtId="0" xfId="0" applyAlignment="1" applyBorder="1" applyFill="1" applyFont="1">
      <alignment horizontal="center" readingOrder="0"/>
    </xf>
    <xf borderId="84" fillId="0" fontId="3" numFmtId="0" xfId="0" applyBorder="1" applyFont="1"/>
    <xf borderId="85" fillId="0" fontId="3" numFmtId="0" xfId="0" applyBorder="1" applyFont="1"/>
    <xf borderId="15" fillId="3" fontId="5" numFmtId="0" xfId="0" applyAlignment="1" applyBorder="1" applyFill="1" applyFont="1">
      <alignment horizontal="center" readingOrder="0"/>
    </xf>
    <xf borderId="4" fillId="3" fontId="5" numFmtId="0" xfId="0" applyAlignment="1" applyBorder="1" applyFill="1" applyFont="1">
      <alignment horizontal="center" readingOrder="0"/>
    </xf>
    <xf borderId="86" fillId="10" fontId="4" numFmtId="0" xfId="0" applyAlignment="1" applyBorder="1" applyFill="1" applyFont="1">
      <alignment horizontal="center" readingOrder="0"/>
    </xf>
    <xf borderId="87" fillId="0" fontId="3" numFmtId="0" xfId="0" applyBorder="1" applyFont="1"/>
    <xf borderId="88" fillId="0" fontId="4" numFmtId="0" xfId="0" applyAlignment="1" applyBorder="1" applyFont="1">
      <alignment readingOrder="0"/>
    </xf>
    <xf borderId="62" fillId="0" fontId="4" numFmtId="0" xfId="0" applyAlignment="1" applyBorder="1" applyFont="1">
      <alignment readingOrder="0"/>
    </xf>
    <xf borderId="89" fillId="0" fontId="4" numFmtId="0" xfId="0" applyBorder="1" applyFont="1"/>
    <xf borderId="90" fillId="5" fontId="4" numFmtId="0" xfId="0" applyAlignment="1" applyBorder="1" applyFill="1" applyFont="1">
      <alignment readingOrder="0"/>
    </xf>
    <xf borderId="91" fillId="5" fontId="4" numFmtId="0" xfId="0" applyBorder="1" applyFill="1" applyFont="1"/>
    <xf borderId="92" fillId="5" fontId="4" numFmtId="0" xfId="0" applyBorder="1" applyFill="1" applyFont="1"/>
    <xf borderId="93" fillId="4" fontId="4" numFmtId="0" xfId="0" applyBorder="1" applyFill="1" applyFont="1"/>
    <xf borderId="94" fillId="0" fontId="3" numFmtId="0" xfId="0" applyBorder="1" applyFont="1"/>
    <xf borderId="95" fillId="0" fontId="3" numFmtId="0" xfId="0" applyBorder="1" applyFont="1"/>
    <xf borderId="52" fillId="0" fontId="4" numFmtId="0" xfId="0" applyAlignment="1" applyBorder="1" applyFont="1">
      <alignment readingOrder="0"/>
    </xf>
    <xf borderId="55" fillId="0" fontId="4" numFmtId="164" xfId="0" applyAlignment="1" applyBorder="1" applyFont="1" applyNumberFormat="1">
      <alignment horizontal="center" readingOrder="0"/>
    </xf>
    <xf borderId="55" fillId="0" fontId="4" numFmtId="164" xfId="0" applyAlignment="1" applyBorder="1" applyFont="1" applyNumberFormat="1">
      <alignment horizontal="center"/>
    </xf>
    <xf borderId="54" fillId="0" fontId="4" numFmtId="0" xfId="0" applyBorder="1" applyFont="1"/>
    <xf borderId="52" fillId="5" fontId="4" numFmtId="0" xfId="0" applyAlignment="1" applyBorder="1" applyFill="1" applyFont="1">
      <alignment readingOrder="0"/>
    </xf>
    <xf borderId="55" fillId="5" fontId="4" numFmtId="0" xfId="0" applyAlignment="1" applyBorder="1" applyFill="1" applyFont="1">
      <alignment readingOrder="0"/>
    </xf>
    <xf borderId="55" fillId="4" fontId="4" numFmtId="0" xfId="0" applyAlignment="1" applyBorder="1" applyFill="1" applyFont="1">
      <alignment horizontal="center" readingOrder="0"/>
    </xf>
    <xf borderId="54" fillId="0" fontId="9" numFmtId="0" xfId="0" applyBorder="1" applyFont="1"/>
    <xf borderId="96" fillId="0" fontId="3" numFmtId="0" xfId="0" applyBorder="1" applyFont="1"/>
    <xf borderId="97" fillId="0" fontId="3" numFmtId="0" xfId="0" applyBorder="1" applyFont="1"/>
    <xf borderId="52" fillId="0" fontId="4" numFmtId="0" xfId="0" applyBorder="1" applyFont="1"/>
    <xf borderId="98" fillId="0" fontId="4" numFmtId="0" xfId="0" applyAlignment="1" applyBorder="1" applyFont="1">
      <alignment readingOrder="0"/>
    </xf>
    <xf borderId="98" fillId="0" fontId="4" numFmtId="0" xfId="0" applyBorder="1" applyFont="1"/>
    <xf borderId="63" fillId="0" fontId="4" numFmtId="164" xfId="0" applyAlignment="1" applyBorder="1" applyFont="1" applyNumberFormat="1">
      <alignment horizontal="center" readingOrder="0"/>
    </xf>
    <xf borderId="63" fillId="0" fontId="4" numFmtId="164" xfId="0" applyAlignment="1" applyBorder="1" applyFont="1" applyNumberFormat="1">
      <alignment horizontal="center"/>
    </xf>
    <xf borderId="55" fillId="4" fontId="4" numFmtId="10" xfId="0" applyAlignment="1" applyBorder="1" applyFill="1" applyFont="1" applyNumberFormat="1">
      <alignment horizontal="center" readingOrder="0"/>
    </xf>
    <xf borderId="99" fillId="0" fontId="4" numFmtId="0" xfId="0" applyBorder="1" applyFont="1"/>
    <xf borderId="55" fillId="5" fontId="10" numFmtId="164" xfId="0" applyAlignment="1" applyBorder="1" applyFill="1" applyFont="1" applyNumberFormat="1">
      <alignment horizontal="center" readingOrder="0"/>
    </xf>
    <xf borderId="55" fillId="5" fontId="10" numFmtId="164" xfId="0" applyAlignment="1" applyBorder="1" applyFill="1" applyFont="1" applyNumberFormat="1">
      <alignment horizontal="center"/>
    </xf>
    <xf borderId="100" fillId="0" fontId="4" numFmtId="0" xfId="0" applyBorder="1" applyFont="1"/>
    <xf borderId="68" fillId="0" fontId="4" numFmtId="0" xfId="0" applyBorder="1" applyFont="1"/>
    <xf borderId="101" fillId="0" fontId="4" numFmtId="0" xfId="0" applyBorder="1" applyFont="1"/>
    <xf borderId="72" fillId="0" fontId="4" numFmtId="0" xfId="0" applyBorder="1" applyFont="1"/>
    <xf borderId="10" fillId="3" fontId="4" numFmtId="0" xfId="0" applyAlignment="1" applyBorder="1" applyFill="1" applyFont="1">
      <alignment readingOrder="0"/>
    </xf>
    <xf borderId="102" fillId="3" fontId="4" numFmtId="0" xfId="0" applyBorder="1" applyFill="1" applyFont="1"/>
    <xf borderId="103" fillId="3" fontId="4" numFmtId="0" xfId="0" applyBorder="1" applyFill="1" applyFont="1"/>
    <xf borderId="49" fillId="0" fontId="4" numFmtId="0" xfId="0" applyBorder="1" applyFont="1"/>
    <xf borderId="50" fillId="0" fontId="10" numFmtId="0" xfId="0" applyAlignment="1" applyBorder="1" applyFont="1">
      <alignment horizontal="center" readingOrder="0" vertical="center"/>
    </xf>
    <xf borderId="104" fillId="0" fontId="10" numFmtId="0" xfId="0" applyAlignment="1" applyBorder="1" applyFont="1">
      <alignment horizontal="center" readingOrder="0" vertical="center"/>
    </xf>
    <xf borderId="51" fillId="0" fontId="4" numFmtId="0" xfId="0" applyBorder="1" applyFont="1"/>
    <xf borderId="105" fillId="3" fontId="4" numFmtId="0" xfId="0" applyAlignment="1" applyBorder="1" applyFill="1" applyFont="1">
      <alignment readingOrder="0"/>
    </xf>
    <xf borderId="106" fillId="3" fontId="4" numFmtId="0" xfId="0" applyBorder="1" applyFill="1" applyFont="1"/>
    <xf borderId="55" fillId="0" fontId="4" numFmtId="0" xfId="0" applyAlignment="1" applyBorder="1" applyFont="1">
      <alignment horizontal="left" readingOrder="0" vertical="center"/>
    </xf>
    <xf borderId="56" fillId="0" fontId="4" numFmtId="0" xfId="0" applyAlignment="1" applyBorder="1" applyFont="1">
      <alignment horizontal="left" readingOrder="0" vertical="center"/>
    </xf>
    <xf borderId="57" fillId="0" fontId="10" numFmtId="0" xfId="0" applyAlignment="1" applyBorder="1" applyFont="1">
      <alignment horizontal="left" readingOrder="0" vertical="center"/>
    </xf>
    <xf borderId="53" fillId="0" fontId="10" numFmtId="0" xfId="0" applyAlignment="1" applyBorder="1" applyFont="1">
      <alignment horizontal="left" readingOrder="0" vertical="center"/>
    </xf>
    <xf borderId="55" fillId="0" fontId="10" numFmtId="0" xfId="0" applyAlignment="1" applyBorder="1" applyFont="1">
      <alignment horizontal="center" readingOrder="0" vertical="center"/>
    </xf>
    <xf borderId="55" fillId="4" fontId="4" numFmtId="164" xfId="0" applyAlignment="1" applyBorder="1" applyFill="1" applyFont="1" applyNumberFormat="1">
      <alignment horizontal="center" readingOrder="0" vertical="center"/>
    </xf>
    <xf borderId="105" fillId="3" fontId="4" numFmtId="0" xfId="0" applyBorder="1" applyFill="1" applyFont="1"/>
    <xf borderId="55" fillId="4" fontId="4" numFmtId="10" xfId="0" applyAlignment="1" applyBorder="1" applyFill="1" applyFont="1" applyNumberFormat="1">
      <alignment horizontal="center" readingOrder="0" vertical="center"/>
    </xf>
    <xf borderId="107" fillId="6" fontId="10" numFmtId="0" xfId="0" applyAlignment="1" applyBorder="1" applyFill="1" applyFont="1">
      <alignment horizontal="left" readingOrder="0" vertical="center"/>
    </xf>
    <xf borderId="107" fillId="6" fontId="4" numFmtId="0" xfId="0" applyAlignment="1" applyBorder="1" applyFill="1" applyFont="1">
      <alignment horizontal="left" readingOrder="0" vertical="center"/>
    </xf>
    <xf borderId="108" fillId="6" fontId="10" numFmtId="0" xfId="0" applyAlignment="1" applyBorder="1" applyFill="1" applyFont="1">
      <alignment horizontal="center" readingOrder="0" vertical="center"/>
    </xf>
    <xf borderId="108" fillId="4" fontId="4" numFmtId="164" xfId="0" applyAlignment="1" applyBorder="1" applyFill="1" applyFont="1" applyNumberFormat="1">
      <alignment horizontal="center" readingOrder="0" vertical="center"/>
    </xf>
    <xf borderId="109" fillId="0" fontId="3" numFmtId="0" xfId="0" applyBorder="1" applyFont="1"/>
    <xf borderId="110" fillId="0" fontId="3" numFmtId="0" xfId="0" applyBorder="1" applyFont="1"/>
    <xf borderId="55" fillId="0" fontId="4" numFmtId="164" xfId="0" applyAlignment="1" applyBorder="1" applyFont="1" applyNumberFormat="1">
      <alignment horizontal="center" readingOrder="0"/>
    </xf>
    <xf borderId="86" fillId="0" fontId="3" numFmtId="0" xfId="0" applyBorder="1" applyFont="1"/>
    <xf borderId="55" fillId="0" fontId="4" numFmtId="164" xfId="0" applyAlignment="1" applyBorder="1" applyFont="1" applyNumberFormat="1">
      <alignment horizontal="center"/>
    </xf>
    <xf borderId="107" fillId="6" fontId="10" numFmtId="0" xfId="0" applyAlignment="1" applyBorder="1" applyFill="1" applyFont="1">
      <alignment readingOrder="0"/>
    </xf>
    <xf borderId="107" fillId="6" fontId="4" numFmtId="0" xfId="0" applyBorder="1" applyFill="1" applyFont="1"/>
    <xf borderId="107" fillId="6" fontId="4" numFmtId="0" xfId="0" applyAlignment="1" applyBorder="1" applyFill="1" applyFont="1">
      <alignment readingOrder="0"/>
    </xf>
    <xf borderId="108" fillId="6" fontId="10" numFmtId="164" xfId="0" applyAlignment="1" applyBorder="1" applyFill="1" applyFont="1" applyNumberFormat="1">
      <alignment horizontal="center"/>
    </xf>
    <xf borderId="53" fillId="0" fontId="6" numFmtId="0" xfId="0" applyAlignment="1" applyBorder="1" applyFont="1">
      <alignment readingOrder="0"/>
    </xf>
    <xf borderId="55" fillId="0" fontId="6" numFmtId="164" xfId="0" applyBorder="1" applyFont="1" applyNumberFormat="1"/>
    <xf borderId="111" fillId="0" fontId="4" numFmtId="0" xfId="0" applyAlignment="1" applyBorder="1" applyFont="1">
      <alignment readingOrder="0"/>
    </xf>
    <xf borderId="111" fillId="0" fontId="4" numFmtId="0" xfId="0" applyBorder="1" applyFont="1"/>
    <xf borderId="62" fillId="0" fontId="6" numFmtId="0" xfId="0" applyAlignment="1" applyBorder="1" applyFont="1">
      <alignment readingOrder="0"/>
    </xf>
    <xf borderId="62" fillId="0" fontId="6" numFmtId="0" xfId="0" applyBorder="1" applyFont="1"/>
    <xf borderId="112" fillId="0" fontId="6" numFmtId="164" xfId="0" applyAlignment="1" applyBorder="1" applyFont="1" applyNumberFormat="1">
      <alignment horizontal="center"/>
    </xf>
    <xf borderId="113" fillId="0" fontId="3" numFmtId="0" xfId="0" applyBorder="1" applyFont="1"/>
    <xf borderId="114" fillId="0" fontId="3" numFmtId="0" xfId="0" applyBorder="1" applyFont="1"/>
    <xf borderId="62" fillId="0" fontId="6" numFmtId="0" xfId="0" applyAlignment="1" applyBorder="1" applyFont="1">
      <alignment horizontal="center"/>
    </xf>
    <xf borderId="62" fillId="5" fontId="9" numFmtId="0" xfId="0" applyBorder="1" applyFill="1" applyFont="1"/>
    <xf borderId="62" fillId="5" fontId="13" numFmtId="0" xfId="0" applyBorder="1" applyFill="1" applyFont="1"/>
    <xf borderId="53" fillId="0" fontId="4" numFmtId="0" xfId="0" applyAlignment="1" applyBorder="1" applyFont="1">
      <alignment readingOrder="0" vertical="center"/>
    </xf>
    <xf borderId="53" fillId="0" fontId="4" numFmtId="0" xfId="0" applyAlignment="1" applyBorder="1" applyFont="1">
      <alignment vertical="center"/>
    </xf>
    <xf borderId="55" fillId="0" fontId="4" numFmtId="0" xfId="0" applyAlignment="1" applyBorder="1" applyFont="1">
      <alignment vertical="center"/>
    </xf>
    <xf borderId="115" fillId="4" fontId="6" numFmtId="49" xfId="0" applyBorder="1" applyFill="1" applyFont="1" applyNumberFormat="1"/>
    <xf borderId="116" fillId="4" fontId="6" numFmtId="49" xfId="0" applyBorder="1" applyFill="1" applyFont="1" applyNumberFormat="1"/>
    <xf borderId="116" fillId="4" fontId="6" numFmtId="164" xfId="0" applyAlignment="1" applyBorder="1" applyFill="1" applyFont="1" applyNumberFormat="1">
      <alignment horizontal="center"/>
    </xf>
    <xf borderId="116" fillId="4" fontId="6" numFmtId="3" xfId="0" applyAlignment="1" applyBorder="1" applyFill="1" applyFont="1" applyNumberFormat="1">
      <alignment horizontal="center"/>
    </xf>
    <xf borderId="117" fillId="4" fontId="6" numFmtId="0" xfId="0" applyAlignment="1" applyBorder="1" applyFill="1" applyFont="1">
      <alignment horizontal="center" readingOrder="0"/>
    </xf>
    <xf borderId="118" fillId="5" fontId="6" numFmtId="165" xfId="0" applyAlignment="1" applyBorder="1" applyFill="1" applyFont="1" applyNumberFormat="1">
      <alignment horizontal="center"/>
    </xf>
    <xf borderId="4" fillId="3" fontId="1" numFmtId="49" xfId="0" applyBorder="1" applyFill="1" applyFont="1" applyNumberFormat="1"/>
    <xf borderId="55" fillId="5" fontId="4" numFmtId="10" xfId="0" applyAlignment="1" applyBorder="1" applyFill="1" applyFont="1" applyNumberFormat="1">
      <alignment horizontal="center"/>
    </xf>
    <xf borderId="5" fillId="3" fontId="1" numFmtId="49" xfId="0" applyBorder="1" applyFill="1" applyFont="1" applyNumberFormat="1"/>
    <xf borderId="55" fillId="4" fontId="4" numFmtId="9" xfId="0" applyAlignment="1" applyBorder="1" applyFill="1" applyFont="1" applyNumberFormat="1">
      <alignment horizontal="center" readingOrder="0"/>
    </xf>
    <xf borderId="53" fillId="5" fontId="1" numFmtId="0" xfId="0" applyBorder="1" applyFill="1" applyFont="1"/>
    <xf borderId="53" fillId="5" fontId="1" numFmtId="0" xfId="0" applyAlignment="1" applyBorder="1" applyFill="1" applyFont="1">
      <alignment horizontal="center"/>
    </xf>
    <xf borderId="55" fillId="5" fontId="1" numFmtId="10" xfId="0" applyAlignment="1" applyBorder="1" applyFill="1" applyFont="1" applyNumberFormat="1">
      <alignment horizontal="center"/>
    </xf>
    <xf borderId="119" fillId="0" fontId="4" numFmtId="0" xfId="0" applyBorder="1" applyFont="1"/>
    <xf borderId="98" fillId="0" fontId="4" numFmtId="0" xfId="0" applyAlignment="1" applyBorder="1" applyFont="1">
      <alignment readingOrder="0" vertical="center"/>
    </xf>
    <xf borderId="98" fillId="0" fontId="4" numFmtId="0" xfId="0" applyAlignment="1" applyBorder="1" applyFont="1">
      <alignment vertical="center"/>
    </xf>
    <xf borderId="63" fillId="0" fontId="4" numFmtId="0" xfId="0" applyAlignment="1" applyBorder="1" applyFont="1">
      <alignment vertical="center"/>
    </xf>
    <xf borderId="120" fillId="0" fontId="4" numFmtId="0" xfId="0" applyBorder="1" applyFont="1"/>
    <xf borderId="55" fillId="5" fontId="4" numFmtId="0" xfId="0" applyBorder="1" applyFill="1" applyFont="1"/>
    <xf borderId="63" fillId="0" fontId="4" numFmtId="0" xfId="0" applyAlignment="1" applyBorder="1" applyFont="1">
      <alignment readingOrder="0" shrinkToFit="0" vertical="center" wrapText="1"/>
    </xf>
    <xf borderId="55" fillId="0" fontId="6" numFmtId="164" xfId="0" applyBorder="1" applyFont="1" applyNumberFormat="1"/>
    <xf borderId="53" fillId="0" fontId="4" numFmtId="0" xfId="0" applyAlignment="1" applyBorder="1" applyFont="1">
      <alignment horizontal="center"/>
    </xf>
    <xf borderId="55" fillId="5" fontId="4" numFmtId="164" xfId="0" applyAlignment="1" applyBorder="1" applyFill="1" applyFont="1" applyNumberFormat="1">
      <alignment horizontal="center"/>
    </xf>
    <xf borderId="112" fillId="0" fontId="3" numFmtId="0" xfId="0" applyBorder="1" applyFont="1"/>
    <xf borderId="53" fillId="5" fontId="6" numFmtId="0" xfId="0" applyAlignment="1" applyBorder="1" applyFill="1" applyFont="1">
      <alignment readingOrder="0"/>
    </xf>
    <xf borderId="55" fillId="5" fontId="6" numFmtId="164" xfId="0" applyBorder="1" applyFill="1" applyFont="1" applyNumberFormat="1"/>
    <xf borderId="53" fillId="5" fontId="4" numFmtId="0" xfId="0" applyAlignment="1" applyBorder="1" applyFill="1" applyFont="1">
      <alignment horizontal="center"/>
    </xf>
    <xf borderId="58" fillId="0" fontId="4" numFmtId="0" xfId="0" applyBorder="1" applyFont="1"/>
    <xf borderId="121" fillId="3" fontId="4" numFmtId="0" xfId="0" applyBorder="1" applyFill="1" applyFont="1"/>
    <xf borderId="122" fillId="5" fontId="4" numFmtId="0" xfId="0" applyAlignment="1" applyBorder="1" applyFill="1" applyFont="1">
      <alignment readingOrder="0" shrinkToFit="0" wrapText="1"/>
    </xf>
    <xf borderId="123" fillId="0" fontId="3" numFmtId="0" xfId="0" applyBorder="1" applyFont="1"/>
    <xf borderId="124" fillId="3" fontId="4" numFmtId="0" xfId="0" applyBorder="1" applyFill="1" applyFont="1"/>
    <xf borderId="125" fillId="3" fontId="4" numFmtId="0" xfId="0" applyBorder="1" applyFill="1" applyFont="1"/>
    <xf borderId="10" fillId="3" fontId="4" numFmtId="0" xfId="0" applyAlignment="1" applyBorder="1" applyFill="1" applyFont="1">
      <alignment readingOrder="0" shrinkToFit="0" wrapText="1"/>
    </xf>
    <xf borderId="5" fillId="3" fontId="4" numFmtId="0" xfId="0" applyAlignment="1" applyBorder="1" applyFill="1" applyFont="1">
      <alignment readingOrder="0" shrinkToFit="0" wrapText="1"/>
    </xf>
    <xf borderId="126" fillId="0" fontId="3" numFmtId="0" xfId="0" applyBorder="1" applyFont="1"/>
    <xf borderId="127" fillId="2" fontId="5" numFmtId="0" xfId="0" applyAlignment="1" applyBorder="1" applyFill="1" applyFont="1">
      <alignment horizontal="center" readingOrder="0"/>
    </xf>
    <xf borderId="15" fillId="3" fontId="5" numFmtId="0" xfId="0" applyBorder="1" applyFill="1" applyFont="1"/>
    <xf borderId="9" fillId="3" fontId="5" numFmtId="0" xfId="0" applyBorder="1" applyFill="1" applyFont="1"/>
    <xf borderId="50" fillId="5" fontId="9" numFmtId="0" xfId="0" applyBorder="1" applyFill="1" applyFont="1"/>
    <xf borderId="23" fillId="4" fontId="6" numFmtId="0" xfId="0" applyAlignment="1" applyBorder="1" applyFill="1" applyFont="1">
      <alignment horizontal="center" readingOrder="0" shrinkToFit="0" wrapText="1"/>
    </xf>
    <xf borderId="128" fillId="0" fontId="3" numFmtId="0" xfId="0" applyBorder="1" applyFont="1"/>
    <xf borderId="129" fillId="4" fontId="6" numFmtId="0" xfId="0" applyAlignment="1" applyBorder="1" applyFill="1" applyFont="1">
      <alignment horizontal="center" readingOrder="0"/>
    </xf>
    <xf borderId="129" fillId="0" fontId="6" numFmtId="0" xfId="0" applyAlignment="1" applyBorder="1" applyFont="1">
      <alignment horizontal="center" readingOrder="0"/>
    </xf>
    <xf borderId="129" fillId="0" fontId="6" numFmtId="164" xfId="0" applyAlignment="1" applyBorder="1" applyFont="1" applyNumberFormat="1">
      <alignment horizontal="center" readingOrder="0"/>
    </xf>
    <xf borderId="55" fillId="5" fontId="14" numFmtId="0" xfId="0" applyAlignment="1" applyBorder="1" applyFill="1" applyFont="1">
      <alignment horizontal="center" readingOrder="0"/>
    </xf>
    <xf borderId="15" fillId="3" fontId="9" numFmtId="0" xfId="0" applyBorder="1" applyFill="1" applyFont="1"/>
    <xf borderId="63" fillId="5" fontId="15" numFmtId="0" xfId="0" applyAlignment="1" applyBorder="1" applyFill="1" applyFont="1">
      <alignment horizontal="center" readingOrder="0" shrinkToFit="0" vertical="center" wrapText="1"/>
    </xf>
    <xf borderId="58" fillId="5" fontId="4" numFmtId="0" xfId="0" applyAlignment="1" applyBorder="1" applyFill="1" applyFont="1">
      <alignment horizontal="center" readingOrder="0" shrinkToFit="0" vertical="center" wrapText="1"/>
    </xf>
    <xf borderId="9" fillId="3" fontId="9" numFmtId="0" xfId="0" applyBorder="1" applyFill="1" applyFont="1"/>
    <xf borderId="29" fillId="4" fontId="6" numFmtId="0" xfId="0" applyBorder="1" applyFill="1" applyFont="1"/>
    <xf borderId="116" fillId="4" fontId="6" numFmtId="0" xfId="0" applyAlignment="1" applyBorder="1" applyFill="1" applyFont="1">
      <alignment horizontal="center"/>
    </xf>
    <xf borderId="116" fillId="5" fontId="6" numFmtId="164" xfId="0" applyAlignment="1" applyBorder="1" applyFill="1" applyFont="1" applyNumberFormat="1">
      <alignment horizontal="center"/>
    </xf>
    <xf borderId="30" fillId="5" fontId="6" numFmtId="164" xfId="0" applyAlignment="1" applyBorder="1" applyFill="1" applyFont="1" applyNumberFormat="1">
      <alignment horizontal="center"/>
    </xf>
    <xf borderId="5" fillId="3" fontId="4" numFmtId="164" xfId="0" applyAlignment="1" applyBorder="1" applyFill="1" applyFont="1" applyNumberFormat="1">
      <alignment horizontal="center"/>
    </xf>
    <xf borderId="45" fillId="4" fontId="6" numFmtId="0" xfId="0" applyAlignment="1" applyBorder="1" applyFill="1" applyFont="1">
      <alignment horizontal="center" readingOrder="0" shrinkToFit="0" wrapText="1"/>
    </xf>
    <xf borderId="130" fillId="0" fontId="3" numFmtId="0" xfId="0" applyBorder="1" applyFont="1"/>
    <xf borderId="131" fillId="4" fontId="6" numFmtId="0" xfId="0" applyAlignment="1" applyBorder="1" applyFill="1" applyFont="1">
      <alignment horizontal="center" readingOrder="0"/>
    </xf>
    <xf borderId="131" fillId="0" fontId="6" numFmtId="0" xfId="0" applyAlignment="1" applyBorder="1" applyFont="1">
      <alignment horizontal="center" readingOrder="0"/>
    </xf>
    <xf borderId="131" fillId="0" fontId="6" numFmtId="164" xfId="0" applyAlignment="1" applyBorder="1" applyFont="1" applyNumberFormat="1">
      <alignment horizontal="center" readingOrder="0"/>
    </xf>
    <xf borderId="132" fillId="3" fontId="4" numFmtId="0" xfId="0" applyBorder="1" applyFill="1" applyFont="1"/>
    <xf borderId="133" fillId="0" fontId="3" numFmtId="0" xfId="0" applyBorder="1" applyFont="1"/>
    <xf borderId="134" fillId="0" fontId="3" numFmtId="0" xfId="0" applyBorder="1" applyFont="1"/>
    <xf borderId="4" fillId="3" fontId="16" numFmtId="0" xfId="0" applyAlignment="1" applyBorder="1" applyFill="1" applyFont="1">
      <alignment readingOrder="0"/>
    </xf>
  </cellXfs>
  <cellStyles count="1">
    <cellStyle xfId="0" name="Normal" builtinId="0"/>
  </cellStyles>
  <dxfs count="6">
    <dxf>
      <font>
        <color rgb="FFFF0000"/>
      </font>
      <fill>
        <patternFill patternType="none"/>
      </fill>
      <border/>
    </dxf>
    <dxf>
      <font>
        <color rgb="FF38761D"/>
      </font>
      <fill>
        <patternFill patternType="none"/>
      </fill>
      <border/>
    </dxf>
    <dxf>
      <font>
        <color rgb="FFFFFFFF"/>
      </font>
      <fill>
        <patternFill patternType="none"/>
      </fill>
      <border/>
    </dxf>
    <dxf>
      <font>
        <color rgb="FF6AA84F"/>
      </font>
      <fill>
        <patternFill patternType="solid">
          <fgColor rgb="FFFFFFFF"/>
          <bgColor rgb="FFFFFFFF"/>
        </patternFill>
      </fill>
      <border/>
    </dxf>
    <dxf>
      <font/>
      <fill>
        <patternFill patternType="solid">
          <fgColor rgb="FFB7E1CD"/>
          <bgColor rgb="FFB7E1CD"/>
        </patternFill>
      </fill>
      <border/>
    </dxf>
    <dxf>
      <font>
        <color rgb="FFFF0000"/>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E1CD"/>
    <outlinePr summaryBelow="0" summaryRight="0"/>
  </sheetPr>
  <sheetViews>
    <sheetView workbookViewId="0"/>
  </sheetViews>
  <sheetFormatPr customHeight="1" defaultColWidth="12.63" defaultRowHeight="15.75"/>
  <cols>
    <col customWidth="1" min="1" max="5" width="3.25"/>
  </cols>
  <sheetData>
    <row r="1" ht="6.0" customHeight="1">
      <c r="A1" s="6"/>
      <c r="B1" s="3"/>
      <c r="C1" s="3"/>
      <c r="D1" s="3"/>
      <c r="E1" s="4"/>
    </row>
    <row r="2">
      <c r="A2" s="12"/>
      <c r="B2" s="15"/>
      <c r="C2" s="15"/>
      <c r="D2" s="15"/>
      <c r="E2" s="12"/>
    </row>
    <row r="3">
      <c r="A3" s="20"/>
      <c r="B3" s="26" t="s">
        <v>6</v>
      </c>
      <c r="C3" s="27"/>
      <c r="D3" s="29"/>
      <c r="E3" s="33"/>
    </row>
    <row r="4">
      <c r="A4" s="20"/>
      <c r="B4" s="40" t="s">
        <v>12</v>
      </c>
      <c r="C4" s="42"/>
      <c r="D4" s="44"/>
      <c r="E4" s="33"/>
    </row>
    <row r="5">
      <c r="A5" s="20"/>
      <c r="B5" s="40" t="s">
        <v>19</v>
      </c>
      <c r="C5" s="42"/>
      <c r="D5" s="44"/>
      <c r="E5" s="33"/>
    </row>
    <row r="6">
      <c r="A6" s="20"/>
      <c r="B6" s="40" t="s">
        <v>25</v>
      </c>
      <c r="C6" s="42"/>
      <c r="D6" s="44"/>
      <c r="E6" s="33"/>
    </row>
    <row r="7">
      <c r="A7" s="20"/>
      <c r="B7" s="40" t="s">
        <v>26</v>
      </c>
      <c r="C7" s="42"/>
      <c r="D7" s="44"/>
      <c r="E7" s="33"/>
    </row>
    <row r="8">
      <c r="A8" s="20"/>
      <c r="B8" s="40" t="s">
        <v>27</v>
      </c>
      <c r="C8" s="42"/>
      <c r="D8" s="44"/>
      <c r="E8" s="33"/>
    </row>
    <row r="9">
      <c r="A9" s="20"/>
      <c r="B9" s="40" t="s">
        <v>28</v>
      </c>
      <c r="C9" s="42"/>
      <c r="D9" s="44"/>
      <c r="E9" s="33"/>
    </row>
    <row r="10">
      <c r="A10" s="20"/>
      <c r="B10" s="40" t="s">
        <v>29</v>
      </c>
      <c r="C10" s="42"/>
      <c r="D10" s="44"/>
      <c r="E10" s="33"/>
    </row>
    <row r="11">
      <c r="A11" s="20"/>
      <c r="B11" s="40" t="s">
        <v>30</v>
      </c>
      <c r="C11" s="42"/>
      <c r="D11" s="44"/>
      <c r="E11" s="33"/>
    </row>
    <row r="12">
      <c r="A12" s="20"/>
      <c r="B12" s="40" t="s">
        <v>32</v>
      </c>
      <c r="C12" s="42"/>
      <c r="D12" s="44"/>
      <c r="E12" s="33"/>
    </row>
    <row r="13">
      <c r="A13" s="20"/>
      <c r="B13" s="40" t="s">
        <v>33</v>
      </c>
      <c r="C13" s="42"/>
      <c r="D13" s="44"/>
      <c r="E13" s="33"/>
    </row>
    <row r="14">
      <c r="A14" s="20"/>
      <c r="B14" s="40" t="s">
        <v>34</v>
      </c>
      <c r="C14" s="42"/>
      <c r="D14" s="44"/>
      <c r="E14" s="33"/>
    </row>
    <row r="15">
      <c r="A15" s="20"/>
      <c r="B15" s="40" t="s">
        <v>35</v>
      </c>
      <c r="C15" s="42"/>
      <c r="D15" s="44"/>
      <c r="E15" s="33"/>
    </row>
    <row r="16">
      <c r="A16" s="20"/>
      <c r="B16" s="40" t="s">
        <v>37</v>
      </c>
      <c r="C16" s="42"/>
      <c r="D16" s="44"/>
      <c r="E16" s="33"/>
    </row>
    <row r="17">
      <c r="A17" s="20"/>
      <c r="B17" s="40" t="s">
        <v>38</v>
      </c>
      <c r="C17" s="42"/>
      <c r="D17" s="44"/>
      <c r="E17" s="33"/>
    </row>
    <row r="18">
      <c r="A18" s="20"/>
      <c r="B18" s="40" t="s">
        <v>39</v>
      </c>
      <c r="C18" s="42"/>
      <c r="D18" s="44"/>
      <c r="E18" s="33"/>
    </row>
    <row r="19">
      <c r="A19" s="20"/>
      <c r="B19" s="40" t="s">
        <v>40</v>
      </c>
      <c r="C19" s="42"/>
      <c r="D19" s="44"/>
      <c r="E19" s="33"/>
    </row>
    <row r="20">
      <c r="A20" s="20"/>
      <c r="B20" s="40" t="s">
        <v>42</v>
      </c>
      <c r="C20" s="42"/>
      <c r="D20" s="44"/>
      <c r="E20" s="33"/>
    </row>
    <row r="21">
      <c r="A21" s="20"/>
      <c r="B21" s="40" t="s">
        <v>43</v>
      </c>
      <c r="C21" s="42"/>
      <c r="D21" s="44"/>
      <c r="E21" s="33"/>
    </row>
    <row r="22">
      <c r="A22" s="20"/>
      <c r="B22" s="40" t="s">
        <v>44</v>
      </c>
      <c r="C22" s="42"/>
      <c r="D22" s="44"/>
      <c r="E22" s="33"/>
    </row>
    <row r="23">
      <c r="A23" s="20"/>
      <c r="B23" s="40" t="s">
        <v>45</v>
      </c>
      <c r="C23" s="42"/>
      <c r="D23" s="44"/>
      <c r="E23" s="33"/>
    </row>
    <row r="24">
      <c r="A24" s="20"/>
      <c r="B24" s="40" t="s">
        <v>46</v>
      </c>
      <c r="C24" s="42"/>
      <c r="D24" s="44"/>
      <c r="E24" s="33"/>
    </row>
    <row r="25">
      <c r="A25" s="20"/>
      <c r="B25" s="40" t="s">
        <v>47</v>
      </c>
      <c r="C25" s="42"/>
      <c r="D25" s="44"/>
      <c r="E25" s="33"/>
    </row>
    <row r="26">
      <c r="A26" s="20"/>
      <c r="B26" s="40" t="s">
        <v>48</v>
      </c>
      <c r="C26" s="42"/>
      <c r="D26" s="44"/>
      <c r="E26" s="33"/>
    </row>
    <row r="27">
      <c r="A27" s="20"/>
      <c r="B27" s="40" t="s">
        <v>49</v>
      </c>
      <c r="C27" s="42"/>
      <c r="D27" s="44"/>
      <c r="E27" s="33"/>
    </row>
    <row r="28">
      <c r="A28" s="20"/>
      <c r="B28" s="40" t="s">
        <v>50</v>
      </c>
      <c r="C28" s="42"/>
      <c r="D28" s="44"/>
      <c r="E28" s="33"/>
    </row>
    <row r="29">
      <c r="A29" s="20"/>
      <c r="B29" s="40"/>
      <c r="C29" s="42"/>
      <c r="D29" s="44"/>
      <c r="E29" s="33"/>
    </row>
    <row r="30">
      <c r="A30" s="20"/>
      <c r="B30" s="81"/>
      <c r="C30" s="42"/>
      <c r="D30" s="44"/>
      <c r="E30" s="33"/>
    </row>
    <row r="31">
      <c r="A31" s="20"/>
      <c r="B31" s="81"/>
      <c r="C31" s="42"/>
      <c r="D31" s="44"/>
      <c r="E31" s="33"/>
    </row>
    <row r="32">
      <c r="A32" s="20"/>
      <c r="B32" s="81"/>
      <c r="C32" s="42"/>
      <c r="D32" s="44"/>
      <c r="E32" s="33"/>
    </row>
    <row r="33">
      <c r="A33" s="20"/>
      <c r="B33" s="81"/>
      <c r="C33" s="42"/>
      <c r="D33" s="44"/>
      <c r="E33" s="33"/>
    </row>
    <row r="34">
      <c r="A34" s="20"/>
      <c r="B34" s="81"/>
      <c r="C34" s="42"/>
      <c r="D34" s="44"/>
      <c r="E34" s="33"/>
    </row>
    <row r="35">
      <c r="A35" s="20"/>
      <c r="B35" s="81"/>
      <c r="C35" s="42"/>
      <c r="D35" s="44"/>
      <c r="E35" s="33"/>
    </row>
    <row r="36">
      <c r="A36" s="20"/>
      <c r="B36" s="81"/>
      <c r="C36" s="42"/>
      <c r="D36" s="44"/>
      <c r="E36" s="33"/>
    </row>
    <row r="37">
      <c r="A37" s="20"/>
      <c r="B37" s="81"/>
      <c r="C37" s="42"/>
      <c r="D37" s="44"/>
      <c r="E37" s="33"/>
    </row>
    <row r="38">
      <c r="A38" s="20"/>
      <c r="B38" s="81"/>
      <c r="C38" s="42"/>
      <c r="D38" s="44"/>
      <c r="E38" s="33"/>
    </row>
    <row r="39">
      <c r="A39" s="20"/>
      <c r="B39" s="81"/>
      <c r="C39" s="42"/>
      <c r="D39" s="44"/>
      <c r="E39" s="33"/>
    </row>
    <row r="40">
      <c r="A40" s="20"/>
      <c r="B40" s="81"/>
      <c r="C40" s="42"/>
      <c r="D40" s="44"/>
      <c r="E40" s="33"/>
    </row>
    <row r="41">
      <c r="A41" s="20"/>
      <c r="B41" s="81"/>
      <c r="C41" s="42"/>
      <c r="D41" s="44"/>
      <c r="E41" s="33"/>
    </row>
    <row r="42">
      <c r="A42" s="20"/>
      <c r="B42" s="81"/>
      <c r="C42" s="42"/>
      <c r="D42" s="44"/>
      <c r="E42" s="33"/>
    </row>
    <row r="43">
      <c r="A43" s="20"/>
      <c r="B43" s="81"/>
      <c r="C43" s="42"/>
      <c r="D43" s="44"/>
      <c r="E43" s="33"/>
    </row>
    <row r="44">
      <c r="A44" s="20"/>
      <c r="B44" s="81"/>
      <c r="C44" s="42"/>
      <c r="D44" s="44"/>
      <c r="E44" s="33"/>
    </row>
    <row r="45">
      <c r="A45" s="20"/>
      <c r="B45" s="81"/>
      <c r="C45" s="42"/>
      <c r="D45" s="44"/>
      <c r="E45" s="33"/>
    </row>
    <row r="46">
      <c r="A46" s="20"/>
      <c r="B46" s="81"/>
      <c r="C46" s="42"/>
      <c r="D46" s="44"/>
      <c r="E46" s="33"/>
    </row>
    <row r="47">
      <c r="A47" s="20"/>
      <c r="B47" s="81"/>
      <c r="C47" s="42"/>
      <c r="D47" s="44"/>
      <c r="E47" s="33"/>
    </row>
    <row r="48">
      <c r="A48" s="20"/>
      <c r="B48" s="81"/>
      <c r="C48" s="42"/>
      <c r="D48" s="44"/>
      <c r="E48" s="33"/>
    </row>
    <row r="49">
      <c r="A49" s="20"/>
      <c r="B49" s="81"/>
      <c r="C49" s="42"/>
      <c r="D49" s="44"/>
      <c r="E49" s="33"/>
    </row>
    <row r="50">
      <c r="A50" s="20"/>
      <c r="B50" s="81"/>
      <c r="C50" s="42"/>
      <c r="D50" s="44"/>
      <c r="E50" s="33"/>
    </row>
    <row r="51">
      <c r="A51" s="20"/>
      <c r="B51" s="81"/>
      <c r="C51" s="42"/>
      <c r="D51" s="44"/>
      <c r="E51" s="33"/>
    </row>
    <row r="52">
      <c r="A52" s="20"/>
      <c r="B52" s="81"/>
      <c r="C52" s="42"/>
      <c r="D52" s="44"/>
      <c r="E52" s="33"/>
    </row>
    <row r="53">
      <c r="A53" s="20"/>
      <c r="B53" s="81"/>
      <c r="C53" s="42"/>
      <c r="D53" s="44"/>
      <c r="E53" s="33"/>
    </row>
    <row r="54">
      <c r="A54" s="20"/>
      <c r="B54" s="81"/>
      <c r="C54" s="42"/>
      <c r="D54" s="44"/>
      <c r="E54" s="33"/>
    </row>
    <row r="55">
      <c r="A55" s="20"/>
      <c r="B55" s="81"/>
      <c r="C55" s="42"/>
      <c r="D55" s="44"/>
      <c r="E55" s="33"/>
    </row>
    <row r="56">
      <c r="A56" s="20"/>
      <c r="B56" s="81"/>
      <c r="C56" s="42"/>
      <c r="D56" s="44"/>
      <c r="E56" s="33"/>
    </row>
    <row r="57">
      <c r="A57" s="20"/>
      <c r="B57" s="81"/>
      <c r="C57" s="42"/>
      <c r="D57" s="44"/>
      <c r="E57" s="33"/>
    </row>
    <row r="58">
      <c r="A58" s="20"/>
      <c r="B58" s="81"/>
      <c r="C58" s="42"/>
      <c r="D58" s="44"/>
      <c r="E58" s="33"/>
    </row>
    <row r="59">
      <c r="A59" s="20"/>
      <c r="B59" s="81"/>
      <c r="C59" s="42"/>
      <c r="D59" s="44"/>
      <c r="E59" s="33"/>
    </row>
    <row r="60">
      <c r="A60" s="20"/>
      <c r="B60" s="81"/>
      <c r="C60" s="42"/>
      <c r="D60" s="44"/>
      <c r="E60" s="33"/>
    </row>
    <row r="61">
      <c r="A61" s="20"/>
      <c r="B61" s="81"/>
      <c r="C61" s="42"/>
      <c r="D61" s="44"/>
      <c r="E61" s="33"/>
    </row>
    <row r="62">
      <c r="A62" s="20"/>
      <c r="B62" s="81"/>
      <c r="C62" s="42"/>
      <c r="D62" s="44"/>
      <c r="E62" s="33"/>
    </row>
    <row r="63">
      <c r="A63" s="20"/>
      <c r="B63" s="81"/>
      <c r="C63" s="42"/>
      <c r="D63" s="44"/>
      <c r="E63" s="33"/>
    </row>
    <row r="64">
      <c r="A64" s="20"/>
      <c r="B64" s="104"/>
      <c r="C64" s="105"/>
      <c r="D64" s="106"/>
      <c r="E64" s="33"/>
    </row>
    <row r="65">
      <c r="A65" s="84"/>
      <c r="B65" s="107"/>
      <c r="C65" s="107"/>
      <c r="D65" s="107"/>
      <c r="E65" s="84"/>
    </row>
  </sheetData>
  <mergeCells count="63">
    <mergeCell ref="B58:D58"/>
    <mergeCell ref="B59:D59"/>
    <mergeCell ref="B60:D60"/>
    <mergeCell ref="B61:D61"/>
    <mergeCell ref="B62:D62"/>
    <mergeCell ref="B63:D63"/>
    <mergeCell ref="B64:D64"/>
    <mergeCell ref="B51:D51"/>
    <mergeCell ref="B52:D52"/>
    <mergeCell ref="B53:D53"/>
    <mergeCell ref="B54:D54"/>
    <mergeCell ref="B55:D55"/>
    <mergeCell ref="B56:D56"/>
    <mergeCell ref="B57:D57"/>
    <mergeCell ref="A1:E1"/>
    <mergeCell ref="B3:D3"/>
    <mergeCell ref="B4:D4"/>
    <mergeCell ref="B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2:D32"/>
    <mergeCell ref="B33:D33"/>
    <mergeCell ref="B34:D34"/>
    <mergeCell ref="B35:D35"/>
    <mergeCell ref="B36:D36"/>
    <mergeCell ref="B37:D37"/>
    <mergeCell ref="B38:D38"/>
    <mergeCell ref="B39:D39"/>
    <mergeCell ref="B40:D40"/>
    <mergeCell ref="B41:D41"/>
    <mergeCell ref="B42:D42"/>
    <mergeCell ref="B43:D43"/>
    <mergeCell ref="B44:D44"/>
    <mergeCell ref="B45:D45"/>
    <mergeCell ref="B46:D46"/>
    <mergeCell ref="B47:D47"/>
    <mergeCell ref="B48:D48"/>
    <mergeCell ref="B49:D49"/>
    <mergeCell ref="B50:D5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E1CD"/>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25"/>
    <col customWidth="1" min="2" max="2" width="22.0"/>
    <col customWidth="1" min="3" max="3" width="16.38"/>
    <col customWidth="1" min="4" max="6" width="15.75"/>
    <col customWidth="1" min="7" max="8" width="9.5"/>
    <col customWidth="1" min="9" max="9" width="3.25"/>
  </cols>
  <sheetData>
    <row r="1" ht="6.0" customHeight="1">
      <c r="A1" s="1"/>
      <c r="B1" s="3"/>
      <c r="C1" s="3"/>
      <c r="D1" s="3"/>
      <c r="E1" s="3"/>
      <c r="F1" s="3"/>
      <c r="G1" s="3"/>
      <c r="H1" s="3"/>
      <c r="I1" s="4"/>
    </row>
    <row r="2">
      <c r="A2" s="7"/>
      <c r="B2" s="9"/>
      <c r="H2" s="10"/>
      <c r="I2" s="7"/>
    </row>
    <row r="3">
      <c r="A3" s="13"/>
      <c r="B3" s="17" t="s">
        <v>0</v>
      </c>
      <c r="C3" s="18" t="s">
        <v>3</v>
      </c>
      <c r="D3" s="21" t="s">
        <v>4</v>
      </c>
      <c r="E3" s="23" t="s">
        <v>7</v>
      </c>
      <c r="F3" s="21" t="s">
        <v>8</v>
      </c>
      <c r="G3" s="28" t="s">
        <v>9</v>
      </c>
      <c r="H3" s="31" t="s">
        <v>11</v>
      </c>
      <c r="I3" s="34"/>
    </row>
    <row r="4">
      <c r="A4" s="36"/>
      <c r="B4" s="37"/>
      <c r="C4" s="39"/>
      <c r="D4" s="43"/>
      <c r="E4" s="45"/>
      <c r="F4" s="43"/>
      <c r="G4" s="48"/>
      <c r="H4" s="54" t="str">
        <f t="shared" ref="H4:H1002" si="1">IF(E4="","",(D4+F4)/E4)</f>
        <v/>
      </c>
      <c r="I4" s="55"/>
    </row>
    <row r="5">
      <c r="A5" s="36"/>
      <c r="B5" s="56"/>
      <c r="C5" s="57"/>
      <c r="D5" s="58"/>
      <c r="E5" s="60"/>
      <c r="F5" s="58"/>
      <c r="G5" s="62"/>
      <c r="H5" s="63" t="str">
        <f t="shared" si="1"/>
        <v/>
      </c>
      <c r="I5" s="55"/>
    </row>
    <row r="6">
      <c r="A6" s="36"/>
      <c r="B6" s="56"/>
      <c r="C6" s="57"/>
      <c r="D6" s="58"/>
      <c r="E6" s="60"/>
      <c r="F6" s="58"/>
      <c r="G6" s="62"/>
      <c r="H6" s="63" t="str">
        <f t="shared" si="1"/>
        <v/>
      </c>
      <c r="I6" s="55"/>
    </row>
    <row r="7">
      <c r="A7" s="36"/>
      <c r="B7" s="56"/>
      <c r="C7" s="57"/>
      <c r="D7" s="58"/>
      <c r="E7" s="60"/>
      <c r="F7" s="58"/>
      <c r="G7" s="62"/>
      <c r="H7" s="63" t="str">
        <f t="shared" si="1"/>
        <v/>
      </c>
      <c r="I7" s="55"/>
    </row>
    <row r="8">
      <c r="A8" s="36"/>
      <c r="B8" s="56"/>
      <c r="C8" s="57"/>
      <c r="D8" s="58"/>
      <c r="E8" s="60"/>
      <c r="F8" s="58"/>
      <c r="G8" s="62"/>
      <c r="H8" s="63" t="str">
        <f t="shared" si="1"/>
        <v/>
      </c>
      <c r="I8" s="55"/>
    </row>
    <row r="9">
      <c r="A9" s="36"/>
      <c r="B9" s="56"/>
      <c r="C9" s="57"/>
      <c r="D9" s="58"/>
      <c r="E9" s="60"/>
      <c r="F9" s="58"/>
      <c r="G9" s="62"/>
      <c r="H9" s="63" t="str">
        <f t="shared" si="1"/>
        <v/>
      </c>
      <c r="I9" s="55"/>
    </row>
    <row r="10">
      <c r="A10" s="36"/>
      <c r="B10" s="56"/>
      <c r="C10" s="57"/>
      <c r="D10" s="58"/>
      <c r="E10" s="60"/>
      <c r="F10" s="58"/>
      <c r="G10" s="62"/>
      <c r="H10" s="63" t="str">
        <f t="shared" si="1"/>
        <v/>
      </c>
      <c r="I10" s="55"/>
    </row>
    <row r="11">
      <c r="A11" s="36"/>
      <c r="B11" s="56"/>
      <c r="C11" s="57"/>
      <c r="D11" s="58"/>
      <c r="E11" s="60"/>
      <c r="F11" s="58"/>
      <c r="G11" s="62"/>
      <c r="H11" s="63" t="str">
        <f t="shared" si="1"/>
        <v/>
      </c>
      <c r="I11" s="55"/>
    </row>
    <row r="12">
      <c r="A12" s="36"/>
      <c r="B12" s="56"/>
      <c r="C12" s="57"/>
      <c r="D12" s="58"/>
      <c r="E12" s="60"/>
      <c r="F12" s="58"/>
      <c r="G12" s="62"/>
      <c r="H12" s="63" t="str">
        <f t="shared" si="1"/>
        <v/>
      </c>
      <c r="I12" s="55"/>
    </row>
    <row r="13">
      <c r="A13" s="67"/>
      <c r="B13" s="69"/>
      <c r="C13" s="71"/>
      <c r="D13" s="58"/>
      <c r="E13" s="60"/>
      <c r="F13" s="58"/>
      <c r="G13" s="62"/>
      <c r="H13" s="63" t="str">
        <f t="shared" si="1"/>
        <v/>
      </c>
      <c r="I13" s="55"/>
    </row>
    <row r="14">
      <c r="A14" s="67"/>
      <c r="B14" s="69"/>
      <c r="C14" s="71"/>
      <c r="D14" s="58"/>
      <c r="E14" s="60"/>
      <c r="F14" s="58"/>
      <c r="G14" s="62"/>
      <c r="H14" s="63" t="str">
        <f t="shared" si="1"/>
        <v/>
      </c>
      <c r="I14" s="55"/>
    </row>
    <row r="15">
      <c r="A15" s="67"/>
      <c r="B15" s="69"/>
      <c r="C15" s="71"/>
      <c r="D15" s="58"/>
      <c r="E15" s="60"/>
      <c r="F15" s="58"/>
      <c r="G15" s="62"/>
      <c r="H15" s="63" t="str">
        <f t="shared" si="1"/>
        <v/>
      </c>
      <c r="I15" s="55"/>
    </row>
    <row r="16">
      <c r="A16" s="77"/>
      <c r="B16" s="69"/>
      <c r="C16" s="71"/>
      <c r="D16" s="58"/>
      <c r="E16" s="60"/>
      <c r="F16" s="58"/>
      <c r="G16" s="62"/>
      <c r="H16" s="63" t="str">
        <f t="shared" si="1"/>
        <v/>
      </c>
      <c r="I16" s="55"/>
    </row>
    <row r="17">
      <c r="A17" s="67"/>
      <c r="B17" s="69"/>
      <c r="C17" s="71"/>
      <c r="D17" s="58"/>
      <c r="E17" s="60"/>
      <c r="F17" s="58"/>
      <c r="G17" s="62"/>
      <c r="H17" s="63" t="str">
        <f t="shared" si="1"/>
        <v/>
      </c>
      <c r="I17" s="55"/>
    </row>
    <row r="18">
      <c r="A18" s="67"/>
      <c r="B18" s="69"/>
      <c r="C18" s="71"/>
      <c r="D18" s="58"/>
      <c r="E18" s="60"/>
      <c r="F18" s="58"/>
      <c r="G18" s="62"/>
      <c r="H18" s="63" t="str">
        <f t="shared" si="1"/>
        <v/>
      </c>
      <c r="I18" s="55"/>
    </row>
    <row r="19">
      <c r="A19" s="67"/>
      <c r="B19" s="69"/>
      <c r="C19" s="74"/>
      <c r="D19" s="75"/>
      <c r="E19" s="76"/>
      <c r="F19" s="75"/>
      <c r="G19" s="62"/>
      <c r="H19" s="63" t="str">
        <f t="shared" si="1"/>
        <v/>
      </c>
      <c r="I19" s="55"/>
    </row>
    <row r="20">
      <c r="A20" s="67"/>
      <c r="B20" s="69"/>
      <c r="C20" s="74"/>
      <c r="D20" s="75"/>
      <c r="E20" s="76"/>
      <c r="F20" s="75"/>
      <c r="G20" s="62"/>
      <c r="H20" s="63" t="str">
        <f t="shared" si="1"/>
        <v/>
      </c>
      <c r="I20" s="55"/>
    </row>
    <row r="21">
      <c r="A21" s="67"/>
      <c r="B21" s="73"/>
      <c r="C21" s="74"/>
      <c r="D21" s="75"/>
      <c r="E21" s="76"/>
      <c r="F21" s="75"/>
      <c r="G21" s="62"/>
      <c r="H21" s="63" t="str">
        <f t="shared" si="1"/>
        <v/>
      </c>
      <c r="I21" s="55"/>
    </row>
    <row r="22">
      <c r="A22" s="67"/>
      <c r="B22" s="73"/>
      <c r="C22" s="74"/>
      <c r="D22" s="75"/>
      <c r="E22" s="76"/>
      <c r="F22" s="75"/>
      <c r="G22" s="62"/>
      <c r="H22" s="63" t="str">
        <f t="shared" si="1"/>
        <v/>
      </c>
      <c r="I22" s="55"/>
    </row>
    <row r="23">
      <c r="A23" s="67"/>
      <c r="B23" s="73"/>
      <c r="C23" s="74"/>
      <c r="D23" s="75"/>
      <c r="E23" s="76"/>
      <c r="F23" s="75"/>
      <c r="G23" s="62"/>
      <c r="H23" s="63" t="str">
        <f t="shared" si="1"/>
        <v/>
      </c>
      <c r="I23" s="55"/>
    </row>
    <row r="24">
      <c r="A24" s="67"/>
      <c r="B24" s="73"/>
      <c r="C24" s="74"/>
      <c r="D24" s="75"/>
      <c r="E24" s="76"/>
      <c r="F24" s="75"/>
      <c r="G24" s="62"/>
      <c r="H24" s="63" t="str">
        <f t="shared" si="1"/>
        <v/>
      </c>
      <c r="I24" s="55"/>
    </row>
    <row r="25">
      <c r="A25" s="67"/>
      <c r="B25" s="73"/>
      <c r="C25" s="74"/>
      <c r="D25" s="75"/>
      <c r="E25" s="76"/>
      <c r="F25" s="75"/>
      <c r="G25" s="62"/>
      <c r="H25" s="63" t="str">
        <f t="shared" si="1"/>
        <v/>
      </c>
      <c r="I25" s="55"/>
    </row>
    <row r="26">
      <c r="A26" s="67"/>
      <c r="B26" s="73"/>
      <c r="C26" s="74"/>
      <c r="D26" s="75"/>
      <c r="E26" s="76"/>
      <c r="F26" s="75"/>
      <c r="G26" s="62"/>
      <c r="H26" s="63" t="str">
        <f t="shared" si="1"/>
        <v/>
      </c>
      <c r="I26" s="55"/>
    </row>
    <row r="27">
      <c r="A27" s="67"/>
      <c r="B27" s="73"/>
      <c r="C27" s="74"/>
      <c r="D27" s="75"/>
      <c r="E27" s="76"/>
      <c r="F27" s="75"/>
      <c r="G27" s="62"/>
      <c r="H27" s="63" t="str">
        <f t="shared" si="1"/>
        <v/>
      </c>
      <c r="I27" s="55"/>
    </row>
    <row r="28">
      <c r="A28" s="67"/>
      <c r="B28" s="73"/>
      <c r="C28" s="74"/>
      <c r="D28" s="75"/>
      <c r="E28" s="76"/>
      <c r="F28" s="75"/>
      <c r="G28" s="62"/>
      <c r="H28" s="63" t="str">
        <f t="shared" si="1"/>
        <v/>
      </c>
      <c r="I28" s="55"/>
    </row>
    <row r="29">
      <c r="A29" s="67"/>
      <c r="B29" s="73"/>
      <c r="C29" s="74"/>
      <c r="D29" s="75"/>
      <c r="E29" s="76"/>
      <c r="F29" s="75"/>
      <c r="G29" s="62"/>
      <c r="H29" s="63" t="str">
        <f t="shared" si="1"/>
        <v/>
      </c>
      <c r="I29" s="55"/>
    </row>
    <row r="30">
      <c r="A30" s="67"/>
      <c r="B30" s="73"/>
      <c r="C30" s="74"/>
      <c r="D30" s="75"/>
      <c r="E30" s="76"/>
      <c r="F30" s="75"/>
      <c r="G30" s="62"/>
      <c r="H30" s="63" t="str">
        <f t="shared" si="1"/>
        <v/>
      </c>
      <c r="I30" s="55"/>
    </row>
    <row r="31">
      <c r="A31" s="67"/>
      <c r="B31" s="73"/>
      <c r="C31" s="74"/>
      <c r="D31" s="75"/>
      <c r="E31" s="76"/>
      <c r="F31" s="75"/>
      <c r="G31" s="62"/>
      <c r="H31" s="63" t="str">
        <f t="shared" si="1"/>
        <v/>
      </c>
      <c r="I31" s="55"/>
    </row>
    <row r="32">
      <c r="A32" s="67"/>
      <c r="B32" s="73"/>
      <c r="C32" s="74"/>
      <c r="D32" s="75"/>
      <c r="E32" s="76"/>
      <c r="F32" s="75"/>
      <c r="G32" s="62"/>
      <c r="H32" s="63" t="str">
        <f t="shared" si="1"/>
        <v/>
      </c>
      <c r="I32" s="55"/>
    </row>
    <row r="33">
      <c r="A33" s="67"/>
      <c r="B33" s="73"/>
      <c r="C33" s="74"/>
      <c r="D33" s="75"/>
      <c r="E33" s="76"/>
      <c r="F33" s="75"/>
      <c r="G33" s="62"/>
      <c r="H33" s="63" t="str">
        <f t="shared" si="1"/>
        <v/>
      </c>
      <c r="I33" s="55"/>
    </row>
    <row r="34">
      <c r="A34" s="67"/>
      <c r="B34" s="73"/>
      <c r="C34" s="74"/>
      <c r="D34" s="75"/>
      <c r="E34" s="76"/>
      <c r="F34" s="75"/>
      <c r="G34" s="62"/>
      <c r="H34" s="63" t="str">
        <f t="shared" si="1"/>
        <v/>
      </c>
      <c r="I34" s="55"/>
    </row>
    <row r="35">
      <c r="A35" s="67"/>
      <c r="B35" s="73"/>
      <c r="C35" s="74"/>
      <c r="D35" s="75"/>
      <c r="E35" s="76"/>
      <c r="F35" s="75"/>
      <c r="G35" s="62"/>
      <c r="H35" s="63" t="str">
        <f t="shared" si="1"/>
        <v/>
      </c>
      <c r="I35" s="55"/>
    </row>
    <row r="36">
      <c r="A36" s="67"/>
      <c r="B36" s="73"/>
      <c r="C36" s="74"/>
      <c r="D36" s="75"/>
      <c r="E36" s="76"/>
      <c r="F36" s="75"/>
      <c r="G36" s="62"/>
      <c r="H36" s="63" t="str">
        <f t="shared" si="1"/>
        <v/>
      </c>
      <c r="I36" s="55"/>
    </row>
    <row r="37">
      <c r="A37" s="67"/>
      <c r="B37" s="73"/>
      <c r="C37" s="74"/>
      <c r="D37" s="75"/>
      <c r="E37" s="76"/>
      <c r="F37" s="75"/>
      <c r="G37" s="62"/>
      <c r="H37" s="63" t="str">
        <f t="shared" si="1"/>
        <v/>
      </c>
      <c r="I37" s="55"/>
    </row>
    <row r="38">
      <c r="A38" s="67"/>
      <c r="B38" s="73"/>
      <c r="C38" s="74"/>
      <c r="D38" s="75"/>
      <c r="E38" s="76"/>
      <c r="F38" s="75"/>
      <c r="G38" s="62"/>
      <c r="H38" s="63" t="str">
        <f t="shared" si="1"/>
        <v/>
      </c>
      <c r="I38" s="55"/>
    </row>
    <row r="39">
      <c r="A39" s="67"/>
      <c r="B39" s="69"/>
      <c r="C39" s="74"/>
      <c r="D39" s="75"/>
      <c r="E39" s="76"/>
      <c r="F39" s="58"/>
      <c r="G39" s="62"/>
      <c r="H39" s="63" t="str">
        <f t="shared" si="1"/>
        <v/>
      </c>
      <c r="I39" s="55"/>
    </row>
    <row r="40">
      <c r="A40" s="67"/>
      <c r="B40" s="69"/>
      <c r="C40" s="74"/>
      <c r="D40" s="75"/>
      <c r="E40" s="76"/>
      <c r="F40" s="58"/>
      <c r="G40" s="62"/>
      <c r="H40" s="63" t="str">
        <f t="shared" si="1"/>
        <v/>
      </c>
      <c r="I40" s="55"/>
    </row>
    <row r="41">
      <c r="A41" s="67"/>
      <c r="B41" s="69"/>
      <c r="C41" s="74"/>
      <c r="D41" s="75"/>
      <c r="E41" s="76"/>
      <c r="F41" s="58"/>
      <c r="G41" s="62"/>
      <c r="H41" s="63" t="str">
        <f t="shared" si="1"/>
        <v/>
      </c>
      <c r="I41" s="55"/>
    </row>
    <row r="42">
      <c r="A42" s="67"/>
      <c r="B42" s="69"/>
      <c r="C42" s="74"/>
      <c r="D42" s="75"/>
      <c r="E42" s="76"/>
      <c r="F42" s="58"/>
      <c r="G42" s="62"/>
      <c r="H42" s="63" t="str">
        <f t="shared" si="1"/>
        <v/>
      </c>
      <c r="I42" s="55"/>
    </row>
    <row r="43">
      <c r="A43" s="67"/>
      <c r="B43" s="73"/>
      <c r="C43" s="74"/>
      <c r="D43" s="75"/>
      <c r="E43" s="76"/>
      <c r="F43" s="75"/>
      <c r="G43" s="62"/>
      <c r="H43" s="63" t="str">
        <f t="shared" si="1"/>
        <v/>
      </c>
      <c r="I43" s="55"/>
    </row>
    <row r="44">
      <c r="A44" s="67"/>
      <c r="B44" s="73"/>
      <c r="C44" s="74"/>
      <c r="D44" s="75"/>
      <c r="E44" s="76"/>
      <c r="F44" s="75"/>
      <c r="G44" s="62"/>
      <c r="H44" s="63" t="str">
        <f t="shared" si="1"/>
        <v/>
      </c>
      <c r="I44" s="55"/>
    </row>
    <row r="45">
      <c r="A45" s="67"/>
      <c r="B45" s="73"/>
      <c r="C45" s="74"/>
      <c r="D45" s="75"/>
      <c r="E45" s="76"/>
      <c r="F45" s="75"/>
      <c r="G45" s="62"/>
      <c r="H45" s="63" t="str">
        <f t="shared" si="1"/>
        <v/>
      </c>
      <c r="I45" s="55"/>
    </row>
    <row r="46">
      <c r="A46" s="67"/>
      <c r="B46" s="73"/>
      <c r="C46" s="74"/>
      <c r="D46" s="75"/>
      <c r="E46" s="76"/>
      <c r="F46" s="75"/>
      <c r="G46" s="62"/>
      <c r="H46" s="63" t="str">
        <f t="shared" si="1"/>
        <v/>
      </c>
      <c r="I46" s="55"/>
    </row>
    <row r="47">
      <c r="A47" s="67"/>
      <c r="B47" s="73"/>
      <c r="C47" s="74"/>
      <c r="D47" s="75"/>
      <c r="E47" s="76"/>
      <c r="F47" s="75"/>
      <c r="G47" s="62"/>
      <c r="H47" s="63" t="str">
        <f t="shared" si="1"/>
        <v/>
      </c>
      <c r="I47" s="55"/>
    </row>
    <row r="48">
      <c r="A48" s="67"/>
      <c r="B48" s="73"/>
      <c r="C48" s="74"/>
      <c r="D48" s="75"/>
      <c r="E48" s="76"/>
      <c r="F48" s="75"/>
      <c r="G48" s="62"/>
      <c r="H48" s="63" t="str">
        <f t="shared" si="1"/>
        <v/>
      </c>
      <c r="I48" s="55"/>
    </row>
    <row r="49">
      <c r="A49" s="67"/>
      <c r="B49" s="73"/>
      <c r="C49" s="74"/>
      <c r="D49" s="75"/>
      <c r="E49" s="76"/>
      <c r="F49" s="75"/>
      <c r="G49" s="62"/>
      <c r="H49" s="63" t="str">
        <f t="shared" si="1"/>
        <v/>
      </c>
      <c r="I49" s="55"/>
    </row>
    <row r="50">
      <c r="A50" s="67"/>
      <c r="B50" s="73"/>
      <c r="C50" s="74"/>
      <c r="D50" s="75"/>
      <c r="E50" s="76"/>
      <c r="F50" s="75"/>
      <c r="G50" s="62"/>
      <c r="H50" s="63" t="str">
        <f t="shared" si="1"/>
        <v/>
      </c>
      <c r="I50" s="55"/>
    </row>
    <row r="51">
      <c r="A51" s="67"/>
      <c r="B51" s="73"/>
      <c r="C51" s="74"/>
      <c r="D51" s="75"/>
      <c r="E51" s="76"/>
      <c r="F51" s="75"/>
      <c r="G51" s="62"/>
      <c r="H51" s="63" t="str">
        <f t="shared" si="1"/>
        <v/>
      </c>
      <c r="I51" s="55"/>
    </row>
    <row r="52">
      <c r="A52" s="67"/>
      <c r="B52" s="73"/>
      <c r="C52" s="74"/>
      <c r="D52" s="75"/>
      <c r="E52" s="76"/>
      <c r="F52" s="75"/>
      <c r="G52" s="62"/>
      <c r="H52" s="63" t="str">
        <f t="shared" si="1"/>
        <v/>
      </c>
      <c r="I52" s="55"/>
    </row>
    <row r="53">
      <c r="A53" s="67"/>
      <c r="B53" s="73"/>
      <c r="C53" s="74"/>
      <c r="D53" s="75"/>
      <c r="E53" s="76"/>
      <c r="F53" s="75"/>
      <c r="G53" s="62"/>
      <c r="H53" s="63" t="str">
        <f t="shared" si="1"/>
        <v/>
      </c>
      <c r="I53" s="55"/>
    </row>
    <row r="54">
      <c r="A54" s="67"/>
      <c r="B54" s="73"/>
      <c r="C54" s="74"/>
      <c r="D54" s="75"/>
      <c r="E54" s="76"/>
      <c r="F54" s="75"/>
      <c r="G54" s="62"/>
      <c r="H54" s="63" t="str">
        <f t="shared" si="1"/>
        <v/>
      </c>
      <c r="I54" s="55"/>
    </row>
    <row r="55">
      <c r="A55" s="67"/>
      <c r="B55" s="73"/>
      <c r="C55" s="74"/>
      <c r="D55" s="75"/>
      <c r="E55" s="76"/>
      <c r="F55" s="75"/>
      <c r="G55" s="62"/>
      <c r="H55" s="63" t="str">
        <f t="shared" si="1"/>
        <v/>
      </c>
      <c r="I55" s="55"/>
    </row>
    <row r="56">
      <c r="A56" s="67"/>
      <c r="B56" s="73"/>
      <c r="C56" s="74"/>
      <c r="D56" s="75"/>
      <c r="E56" s="76"/>
      <c r="F56" s="75"/>
      <c r="G56" s="62"/>
      <c r="H56" s="63" t="str">
        <f t="shared" si="1"/>
        <v/>
      </c>
      <c r="I56" s="55"/>
    </row>
    <row r="57">
      <c r="A57" s="67"/>
      <c r="B57" s="73"/>
      <c r="C57" s="74"/>
      <c r="D57" s="75"/>
      <c r="E57" s="76"/>
      <c r="F57" s="75"/>
      <c r="G57" s="62"/>
      <c r="H57" s="63" t="str">
        <f t="shared" si="1"/>
        <v/>
      </c>
      <c r="I57" s="55"/>
    </row>
    <row r="58">
      <c r="A58" s="67"/>
      <c r="B58" s="73"/>
      <c r="C58" s="74"/>
      <c r="D58" s="75"/>
      <c r="E58" s="76"/>
      <c r="F58" s="75"/>
      <c r="G58" s="62"/>
      <c r="H58" s="63" t="str">
        <f t="shared" si="1"/>
        <v/>
      </c>
      <c r="I58" s="55"/>
    </row>
    <row r="59">
      <c r="A59" s="67"/>
      <c r="B59" s="73"/>
      <c r="C59" s="74"/>
      <c r="D59" s="75"/>
      <c r="E59" s="76"/>
      <c r="F59" s="75"/>
      <c r="G59" s="62"/>
      <c r="H59" s="63" t="str">
        <f t="shared" si="1"/>
        <v/>
      </c>
      <c r="I59" s="55"/>
    </row>
    <row r="60">
      <c r="A60" s="67"/>
      <c r="B60" s="73"/>
      <c r="C60" s="74"/>
      <c r="D60" s="75"/>
      <c r="E60" s="76"/>
      <c r="F60" s="75"/>
      <c r="G60" s="62"/>
      <c r="H60" s="63" t="str">
        <f t="shared" si="1"/>
        <v/>
      </c>
      <c r="I60" s="55"/>
    </row>
    <row r="61">
      <c r="A61" s="67"/>
      <c r="B61" s="73"/>
      <c r="C61" s="74"/>
      <c r="D61" s="75"/>
      <c r="E61" s="76"/>
      <c r="F61" s="75"/>
      <c r="G61" s="62"/>
      <c r="H61" s="63" t="str">
        <f t="shared" si="1"/>
        <v/>
      </c>
      <c r="I61" s="55"/>
    </row>
    <row r="62">
      <c r="A62" s="67"/>
      <c r="B62" s="73"/>
      <c r="C62" s="74"/>
      <c r="D62" s="75"/>
      <c r="E62" s="76"/>
      <c r="F62" s="75"/>
      <c r="G62" s="62"/>
      <c r="H62" s="63" t="str">
        <f t="shared" si="1"/>
        <v/>
      </c>
      <c r="I62" s="55"/>
    </row>
    <row r="63">
      <c r="A63" s="67"/>
      <c r="B63" s="73"/>
      <c r="C63" s="74"/>
      <c r="D63" s="75"/>
      <c r="E63" s="76"/>
      <c r="F63" s="75"/>
      <c r="G63" s="62"/>
      <c r="H63" s="63" t="str">
        <f t="shared" si="1"/>
        <v/>
      </c>
      <c r="I63" s="55"/>
    </row>
    <row r="64">
      <c r="A64" s="67"/>
      <c r="B64" s="73"/>
      <c r="C64" s="74"/>
      <c r="D64" s="75"/>
      <c r="E64" s="76"/>
      <c r="F64" s="75"/>
      <c r="G64" s="62"/>
      <c r="H64" s="63" t="str">
        <f t="shared" si="1"/>
        <v/>
      </c>
      <c r="I64" s="55"/>
    </row>
    <row r="65">
      <c r="A65" s="67"/>
      <c r="B65" s="73"/>
      <c r="C65" s="74"/>
      <c r="D65" s="75"/>
      <c r="E65" s="76"/>
      <c r="F65" s="75"/>
      <c r="G65" s="62"/>
      <c r="H65" s="63" t="str">
        <f t="shared" si="1"/>
        <v/>
      </c>
      <c r="I65" s="55"/>
    </row>
    <row r="66">
      <c r="A66" s="67"/>
      <c r="B66" s="73"/>
      <c r="C66" s="74"/>
      <c r="D66" s="75"/>
      <c r="E66" s="76"/>
      <c r="F66" s="75"/>
      <c r="G66" s="62"/>
      <c r="H66" s="63" t="str">
        <f t="shared" si="1"/>
        <v/>
      </c>
      <c r="I66" s="55"/>
    </row>
    <row r="67">
      <c r="A67" s="67"/>
      <c r="B67" s="73"/>
      <c r="C67" s="74"/>
      <c r="D67" s="75"/>
      <c r="E67" s="76"/>
      <c r="F67" s="75"/>
      <c r="G67" s="62"/>
      <c r="H67" s="63" t="str">
        <f t="shared" si="1"/>
        <v/>
      </c>
      <c r="I67" s="55"/>
    </row>
    <row r="68">
      <c r="A68" s="67"/>
      <c r="B68" s="73"/>
      <c r="C68" s="74"/>
      <c r="D68" s="75"/>
      <c r="E68" s="76"/>
      <c r="F68" s="75"/>
      <c r="G68" s="62"/>
      <c r="H68" s="63" t="str">
        <f t="shared" si="1"/>
        <v/>
      </c>
      <c r="I68" s="55"/>
    </row>
    <row r="69">
      <c r="A69" s="67"/>
      <c r="B69" s="73"/>
      <c r="C69" s="74"/>
      <c r="D69" s="75"/>
      <c r="E69" s="76"/>
      <c r="F69" s="75"/>
      <c r="G69" s="62"/>
      <c r="H69" s="63" t="str">
        <f t="shared" si="1"/>
        <v/>
      </c>
      <c r="I69" s="55"/>
    </row>
    <row r="70">
      <c r="A70" s="67"/>
      <c r="B70" s="73"/>
      <c r="C70" s="74"/>
      <c r="D70" s="75"/>
      <c r="E70" s="76"/>
      <c r="F70" s="75"/>
      <c r="G70" s="62"/>
      <c r="H70" s="63" t="str">
        <f t="shared" si="1"/>
        <v/>
      </c>
      <c r="I70" s="55"/>
    </row>
    <row r="71">
      <c r="A71" s="67"/>
      <c r="B71" s="73"/>
      <c r="C71" s="74"/>
      <c r="D71" s="75"/>
      <c r="E71" s="76"/>
      <c r="F71" s="75"/>
      <c r="G71" s="62"/>
      <c r="H71" s="63" t="str">
        <f t="shared" si="1"/>
        <v/>
      </c>
      <c r="I71" s="55"/>
    </row>
    <row r="72">
      <c r="A72" s="67"/>
      <c r="B72" s="73"/>
      <c r="C72" s="74"/>
      <c r="D72" s="75"/>
      <c r="E72" s="76"/>
      <c r="F72" s="75"/>
      <c r="G72" s="62"/>
      <c r="H72" s="63" t="str">
        <f t="shared" si="1"/>
        <v/>
      </c>
      <c r="I72" s="55"/>
    </row>
    <row r="73">
      <c r="A73" s="67"/>
      <c r="B73" s="73"/>
      <c r="C73" s="74"/>
      <c r="D73" s="75"/>
      <c r="E73" s="76"/>
      <c r="F73" s="75"/>
      <c r="G73" s="62"/>
      <c r="H73" s="63" t="str">
        <f t="shared" si="1"/>
        <v/>
      </c>
      <c r="I73" s="55"/>
    </row>
    <row r="74">
      <c r="A74" s="67"/>
      <c r="B74" s="73"/>
      <c r="C74" s="74"/>
      <c r="D74" s="75"/>
      <c r="E74" s="76"/>
      <c r="F74" s="75"/>
      <c r="G74" s="62"/>
      <c r="H74" s="63" t="str">
        <f t="shared" si="1"/>
        <v/>
      </c>
      <c r="I74" s="55"/>
    </row>
    <row r="75">
      <c r="A75" s="67"/>
      <c r="B75" s="73"/>
      <c r="C75" s="74"/>
      <c r="D75" s="75"/>
      <c r="E75" s="76"/>
      <c r="F75" s="75"/>
      <c r="G75" s="62"/>
      <c r="H75" s="63" t="str">
        <f t="shared" si="1"/>
        <v/>
      </c>
      <c r="I75" s="55"/>
    </row>
    <row r="76">
      <c r="A76" s="67"/>
      <c r="B76" s="73"/>
      <c r="C76" s="74"/>
      <c r="D76" s="75"/>
      <c r="E76" s="76"/>
      <c r="F76" s="75"/>
      <c r="G76" s="62"/>
      <c r="H76" s="63" t="str">
        <f t="shared" si="1"/>
        <v/>
      </c>
      <c r="I76" s="55"/>
    </row>
    <row r="77">
      <c r="A77" s="67"/>
      <c r="B77" s="73"/>
      <c r="C77" s="74"/>
      <c r="D77" s="75"/>
      <c r="E77" s="76"/>
      <c r="F77" s="75"/>
      <c r="G77" s="62"/>
      <c r="H77" s="63" t="str">
        <f t="shared" si="1"/>
        <v/>
      </c>
      <c r="I77" s="55"/>
    </row>
    <row r="78">
      <c r="A78" s="67"/>
      <c r="B78" s="73"/>
      <c r="C78" s="74"/>
      <c r="D78" s="75"/>
      <c r="E78" s="76"/>
      <c r="F78" s="75"/>
      <c r="G78" s="62"/>
      <c r="H78" s="63" t="str">
        <f t="shared" si="1"/>
        <v/>
      </c>
      <c r="I78" s="55"/>
    </row>
    <row r="79">
      <c r="A79" s="67"/>
      <c r="B79" s="73"/>
      <c r="C79" s="74"/>
      <c r="D79" s="75"/>
      <c r="E79" s="76"/>
      <c r="F79" s="75"/>
      <c r="G79" s="62"/>
      <c r="H79" s="63" t="str">
        <f t="shared" si="1"/>
        <v/>
      </c>
      <c r="I79" s="55"/>
    </row>
    <row r="80">
      <c r="A80" s="67"/>
      <c r="B80" s="73"/>
      <c r="C80" s="74"/>
      <c r="D80" s="75"/>
      <c r="E80" s="76"/>
      <c r="F80" s="75"/>
      <c r="G80" s="62"/>
      <c r="H80" s="63" t="str">
        <f t="shared" si="1"/>
        <v/>
      </c>
      <c r="I80" s="55"/>
    </row>
    <row r="81">
      <c r="A81" s="67"/>
      <c r="B81" s="73"/>
      <c r="C81" s="74"/>
      <c r="D81" s="75"/>
      <c r="E81" s="76"/>
      <c r="F81" s="75"/>
      <c r="G81" s="62"/>
      <c r="H81" s="63" t="str">
        <f t="shared" si="1"/>
        <v/>
      </c>
      <c r="I81" s="55"/>
    </row>
    <row r="82">
      <c r="A82" s="67"/>
      <c r="B82" s="73"/>
      <c r="C82" s="74"/>
      <c r="D82" s="75"/>
      <c r="E82" s="76"/>
      <c r="F82" s="75"/>
      <c r="G82" s="62"/>
      <c r="H82" s="63" t="str">
        <f t="shared" si="1"/>
        <v/>
      </c>
      <c r="I82" s="55"/>
    </row>
    <row r="83">
      <c r="A83" s="67"/>
      <c r="B83" s="73"/>
      <c r="C83" s="74"/>
      <c r="D83" s="75"/>
      <c r="E83" s="76"/>
      <c r="F83" s="75"/>
      <c r="G83" s="62"/>
      <c r="H83" s="63" t="str">
        <f t="shared" si="1"/>
        <v/>
      </c>
      <c r="I83" s="55"/>
    </row>
    <row r="84">
      <c r="A84" s="67"/>
      <c r="B84" s="73"/>
      <c r="C84" s="74"/>
      <c r="D84" s="75"/>
      <c r="E84" s="76"/>
      <c r="F84" s="75"/>
      <c r="G84" s="62"/>
      <c r="H84" s="63" t="str">
        <f t="shared" si="1"/>
        <v/>
      </c>
      <c r="I84" s="55"/>
    </row>
    <row r="85">
      <c r="A85" s="67"/>
      <c r="B85" s="73"/>
      <c r="C85" s="74"/>
      <c r="D85" s="75"/>
      <c r="E85" s="76"/>
      <c r="F85" s="75"/>
      <c r="G85" s="62"/>
      <c r="H85" s="63" t="str">
        <f t="shared" si="1"/>
        <v/>
      </c>
      <c r="I85" s="55"/>
    </row>
    <row r="86">
      <c r="A86" s="67"/>
      <c r="B86" s="73"/>
      <c r="C86" s="74"/>
      <c r="D86" s="75"/>
      <c r="E86" s="76"/>
      <c r="F86" s="75"/>
      <c r="G86" s="62"/>
      <c r="H86" s="63" t="str">
        <f t="shared" si="1"/>
        <v/>
      </c>
      <c r="I86" s="55"/>
    </row>
    <row r="87">
      <c r="A87" s="67"/>
      <c r="B87" s="73"/>
      <c r="C87" s="74"/>
      <c r="D87" s="75"/>
      <c r="E87" s="76"/>
      <c r="F87" s="75"/>
      <c r="G87" s="62"/>
      <c r="H87" s="63" t="str">
        <f t="shared" si="1"/>
        <v/>
      </c>
      <c r="I87" s="55"/>
    </row>
    <row r="88">
      <c r="A88" s="67"/>
      <c r="B88" s="73"/>
      <c r="C88" s="74"/>
      <c r="D88" s="75"/>
      <c r="E88" s="76"/>
      <c r="F88" s="75"/>
      <c r="G88" s="62"/>
      <c r="H88" s="63" t="str">
        <f t="shared" si="1"/>
        <v/>
      </c>
      <c r="I88" s="55"/>
    </row>
    <row r="89">
      <c r="A89" s="67"/>
      <c r="B89" s="73"/>
      <c r="C89" s="74"/>
      <c r="D89" s="75"/>
      <c r="E89" s="76"/>
      <c r="F89" s="75"/>
      <c r="G89" s="62"/>
      <c r="H89" s="63" t="str">
        <f t="shared" si="1"/>
        <v/>
      </c>
      <c r="I89" s="55"/>
    </row>
    <row r="90">
      <c r="A90" s="67"/>
      <c r="B90" s="73"/>
      <c r="C90" s="74"/>
      <c r="D90" s="75"/>
      <c r="E90" s="76"/>
      <c r="F90" s="75"/>
      <c r="G90" s="62"/>
      <c r="H90" s="63" t="str">
        <f t="shared" si="1"/>
        <v/>
      </c>
      <c r="I90" s="55"/>
    </row>
    <row r="91">
      <c r="A91" s="67"/>
      <c r="B91" s="73"/>
      <c r="C91" s="74"/>
      <c r="D91" s="75"/>
      <c r="E91" s="76"/>
      <c r="F91" s="75"/>
      <c r="G91" s="62"/>
      <c r="H91" s="63" t="str">
        <f t="shared" si="1"/>
        <v/>
      </c>
      <c r="I91" s="55"/>
    </row>
    <row r="92">
      <c r="A92" s="67"/>
      <c r="B92" s="73"/>
      <c r="C92" s="74"/>
      <c r="D92" s="75"/>
      <c r="E92" s="76"/>
      <c r="F92" s="75"/>
      <c r="G92" s="62"/>
      <c r="H92" s="63" t="str">
        <f t="shared" si="1"/>
        <v/>
      </c>
      <c r="I92" s="55"/>
    </row>
    <row r="93">
      <c r="A93" s="67"/>
      <c r="B93" s="73"/>
      <c r="C93" s="74"/>
      <c r="D93" s="75"/>
      <c r="E93" s="76"/>
      <c r="F93" s="75"/>
      <c r="G93" s="62"/>
      <c r="H93" s="63" t="str">
        <f t="shared" si="1"/>
        <v/>
      </c>
      <c r="I93" s="55"/>
    </row>
    <row r="94">
      <c r="A94" s="67"/>
      <c r="B94" s="73"/>
      <c r="C94" s="74"/>
      <c r="D94" s="75"/>
      <c r="E94" s="76"/>
      <c r="F94" s="75"/>
      <c r="G94" s="62"/>
      <c r="H94" s="63" t="str">
        <f t="shared" si="1"/>
        <v/>
      </c>
      <c r="I94" s="55"/>
    </row>
    <row r="95">
      <c r="A95" s="67"/>
      <c r="B95" s="73"/>
      <c r="C95" s="74"/>
      <c r="D95" s="75"/>
      <c r="E95" s="76"/>
      <c r="F95" s="75"/>
      <c r="G95" s="62"/>
      <c r="H95" s="63" t="str">
        <f t="shared" si="1"/>
        <v/>
      </c>
      <c r="I95" s="55"/>
    </row>
    <row r="96">
      <c r="A96" s="67"/>
      <c r="B96" s="73"/>
      <c r="C96" s="74"/>
      <c r="D96" s="75"/>
      <c r="E96" s="76"/>
      <c r="F96" s="75"/>
      <c r="G96" s="62"/>
      <c r="H96" s="63" t="str">
        <f t="shared" si="1"/>
        <v/>
      </c>
      <c r="I96" s="55"/>
    </row>
    <row r="97">
      <c r="A97" s="67"/>
      <c r="B97" s="73"/>
      <c r="C97" s="74"/>
      <c r="D97" s="75"/>
      <c r="E97" s="76"/>
      <c r="F97" s="75"/>
      <c r="G97" s="62"/>
      <c r="H97" s="63" t="str">
        <f t="shared" si="1"/>
        <v/>
      </c>
      <c r="I97" s="55"/>
    </row>
    <row r="98">
      <c r="A98" s="67"/>
      <c r="B98" s="73"/>
      <c r="C98" s="74"/>
      <c r="D98" s="75"/>
      <c r="E98" s="76"/>
      <c r="F98" s="75"/>
      <c r="G98" s="62"/>
      <c r="H98" s="63" t="str">
        <f t="shared" si="1"/>
        <v/>
      </c>
      <c r="I98" s="55"/>
    </row>
    <row r="99">
      <c r="A99" s="67"/>
      <c r="B99" s="73"/>
      <c r="C99" s="74"/>
      <c r="D99" s="75"/>
      <c r="E99" s="76"/>
      <c r="F99" s="75"/>
      <c r="G99" s="62"/>
      <c r="H99" s="63" t="str">
        <f t="shared" si="1"/>
        <v/>
      </c>
      <c r="I99" s="55"/>
    </row>
    <row r="100">
      <c r="A100" s="67"/>
      <c r="B100" s="73"/>
      <c r="C100" s="74"/>
      <c r="D100" s="75"/>
      <c r="E100" s="76"/>
      <c r="F100" s="75"/>
      <c r="G100" s="62"/>
      <c r="H100" s="63" t="str">
        <f t="shared" si="1"/>
        <v/>
      </c>
      <c r="I100" s="55"/>
    </row>
    <row r="101">
      <c r="A101" s="67"/>
      <c r="B101" s="73"/>
      <c r="C101" s="74"/>
      <c r="D101" s="75"/>
      <c r="E101" s="76"/>
      <c r="F101" s="75"/>
      <c r="G101" s="62"/>
      <c r="H101" s="63" t="str">
        <f t="shared" si="1"/>
        <v/>
      </c>
      <c r="I101" s="55"/>
    </row>
    <row r="102">
      <c r="A102" s="67"/>
      <c r="B102" s="73"/>
      <c r="C102" s="74"/>
      <c r="D102" s="75"/>
      <c r="E102" s="76"/>
      <c r="F102" s="75"/>
      <c r="G102" s="62"/>
      <c r="H102" s="63" t="str">
        <f t="shared" si="1"/>
        <v/>
      </c>
      <c r="I102" s="55"/>
    </row>
    <row r="103">
      <c r="A103" s="67"/>
      <c r="B103" s="73"/>
      <c r="C103" s="74"/>
      <c r="D103" s="75"/>
      <c r="E103" s="76"/>
      <c r="F103" s="75"/>
      <c r="G103" s="62"/>
      <c r="H103" s="63" t="str">
        <f t="shared" si="1"/>
        <v/>
      </c>
      <c r="I103" s="55"/>
    </row>
    <row r="104">
      <c r="A104" s="67"/>
      <c r="B104" s="73"/>
      <c r="C104" s="74"/>
      <c r="D104" s="75"/>
      <c r="E104" s="76"/>
      <c r="F104" s="75"/>
      <c r="G104" s="62"/>
      <c r="H104" s="63" t="str">
        <f t="shared" si="1"/>
        <v/>
      </c>
      <c r="I104" s="55"/>
    </row>
    <row r="105">
      <c r="A105" s="67"/>
      <c r="B105" s="73"/>
      <c r="C105" s="74"/>
      <c r="D105" s="75"/>
      <c r="E105" s="76"/>
      <c r="F105" s="75"/>
      <c r="G105" s="62"/>
      <c r="H105" s="63" t="str">
        <f t="shared" si="1"/>
        <v/>
      </c>
      <c r="I105" s="55"/>
    </row>
    <row r="106">
      <c r="A106" s="67"/>
      <c r="B106" s="73"/>
      <c r="C106" s="74"/>
      <c r="D106" s="75"/>
      <c r="E106" s="76"/>
      <c r="F106" s="75"/>
      <c r="G106" s="62"/>
      <c r="H106" s="63" t="str">
        <f t="shared" si="1"/>
        <v/>
      </c>
      <c r="I106" s="55"/>
    </row>
    <row r="107">
      <c r="A107" s="67"/>
      <c r="B107" s="73"/>
      <c r="C107" s="74"/>
      <c r="D107" s="75"/>
      <c r="E107" s="76"/>
      <c r="F107" s="75"/>
      <c r="G107" s="62"/>
      <c r="H107" s="63" t="str">
        <f t="shared" si="1"/>
        <v/>
      </c>
      <c r="I107" s="55"/>
    </row>
    <row r="108">
      <c r="A108" s="67"/>
      <c r="B108" s="73"/>
      <c r="C108" s="74"/>
      <c r="D108" s="75"/>
      <c r="E108" s="76"/>
      <c r="F108" s="75"/>
      <c r="G108" s="62"/>
      <c r="H108" s="63" t="str">
        <f t="shared" si="1"/>
        <v/>
      </c>
      <c r="I108" s="55"/>
    </row>
    <row r="109">
      <c r="A109" s="67"/>
      <c r="B109" s="73"/>
      <c r="C109" s="74"/>
      <c r="D109" s="75"/>
      <c r="E109" s="76"/>
      <c r="F109" s="75"/>
      <c r="G109" s="62"/>
      <c r="H109" s="63" t="str">
        <f t="shared" si="1"/>
        <v/>
      </c>
      <c r="I109" s="55"/>
    </row>
    <row r="110">
      <c r="A110" s="67"/>
      <c r="B110" s="73"/>
      <c r="C110" s="74"/>
      <c r="D110" s="75"/>
      <c r="E110" s="76"/>
      <c r="F110" s="75"/>
      <c r="G110" s="62"/>
      <c r="H110" s="63" t="str">
        <f t="shared" si="1"/>
        <v/>
      </c>
      <c r="I110" s="55"/>
    </row>
    <row r="111">
      <c r="A111" s="67"/>
      <c r="B111" s="73"/>
      <c r="C111" s="74"/>
      <c r="D111" s="75"/>
      <c r="E111" s="76"/>
      <c r="F111" s="75"/>
      <c r="G111" s="62"/>
      <c r="H111" s="63" t="str">
        <f t="shared" si="1"/>
        <v/>
      </c>
      <c r="I111" s="55"/>
    </row>
    <row r="112">
      <c r="A112" s="67"/>
      <c r="B112" s="73"/>
      <c r="C112" s="74"/>
      <c r="D112" s="75"/>
      <c r="E112" s="76"/>
      <c r="F112" s="75"/>
      <c r="G112" s="62"/>
      <c r="H112" s="63" t="str">
        <f t="shared" si="1"/>
        <v/>
      </c>
      <c r="I112" s="55"/>
    </row>
    <row r="113">
      <c r="A113" s="67"/>
      <c r="B113" s="73"/>
      <c r="C113" s="74"/>
      <c r="D113" s="75"/>
      <c r="E113" s="76"/>
      <c r="F113" s="75"/>
      <c r="G113" s="62"/>
      <c r="H113" s="63" t="str">
        <f t="shared" si="1"/>
        <v/>
      </c>
      <c r="I113" s="55"/>
    </row>
    <row r="114">
      <c r="A114" s="67"/>
      <c r="B114" s="73"/>
      <c r="C114" s="74"/>
      <c r="D114" s="75"/>
      <c r="E114" s="76"/>
      <c r="F114" s="75"/>
      <c r="G114" s="62"/>
      <c r="H114" s="63" t="str">
        <f t="shared" si="1"/>
        <v/>
      </c>
      <c r="I114" s="55"/>
    </row>
    <row r="115">
      <c r="A115" s="67"/>
      <c r="B115" s="73"/>
      <c r="C115" s="74"/>
      <c r="D115" s="75"/>
      <c r="E115" s="76"/>
      <c r="F115" s="75"/>
      <c r="G115" s="62"/>
      <c r="H115" s="63" t="str">
        <f t="shared" si="1"/>
        <v/>
      </c>
      <c r="I115" s="55"/>
    </row>
    <row r="116">
      <c r="A116" s="67"/>
      <c r="B116" s="73"/>
      <c r="C116" s="74"/>
      <c r="D116" s="75"/>
      <c r="E116" s="76"/>
      <c r="F116" s="75"/>
      <c r="G116" s="62"/>
      <c r="H116" s="63" t="str">
        <f t="shared" si="1"/>
        <v/>
      </c>
      <c r="I116" s="55"/>
    </row>
    <row r="117">
      <c r="A117" s="67"/>
      <c r="B117" s="73"/>
      <c r="C117" s="74"/>
      <c r="D117" s="75"/>
      <c r="E117" s="76"/>
      <c r="F117" s="75"/>
      <c r="G117" s="62"/>
      <c r="H117" s="63" t="str">
        <f t="shared" si="1"/>
        <v/>
      </c>
      <c r="I117" s="55"/>
    </row>
    <row r="118">
      <c r="A118" s="67"/>
      <c r="B118" s="73"/>
      <c r="C118" s="74"/>
      <c r="D118" s="75"/>
      <c r="E118" s="76"/>
      <c r="F118" s="75"/>
      <c r="G118" s="62"/>
      <c r="H118" s="63" t="str">
        <f t="shared" si="1"/>
        <v/>
      </c>
      <c r="I118" s="55"/>
    </row>
    <row r="119">
      <c r="A119" s="67"/>
      <c r="B119" s="73"/>
      <c r="C119" s="74"/>
      <c r="D119" s="75"/>
      <c r="E119" s="76"/>
      <c r="F119" s="75"/>
      <c r="G119" s="62"/>
      <c r="H119" s="63" t="str">
        <f t="shared" si="1"/>
        <v/>
      </c>
      <c r="I119" s="55"/>
    </row>
    <row r="120">
      <c r="A120" s="67"/>
      <c r="B120" s="73"/>
      <c r="C120" s="74"/>
      <c r="D120" s="75"/>
      <c r="E120" s="76"/>
      <c r="F120" s="75"/>
      <c r="G120" s="62"/>
      <c r="H120" s="63" t="str">
        <f t="shared" si="1"/>
        <v/>
      </c>
      <c r="I120" s="55"/>
    </row>
    <row r="121">
      <c r="A121" s="67"/>
      <c r="B121" s="73"/>
      <c r="C121" s="74"/>
      <c r="D121" s="75"/>
      <c r="E121" s="76"/>
      <c r="F121" s="75"/>
      <c r="G121" s="62"/>
      <c r="H121" s="63" t="str">
        <f t="shared" si="1"/>
        <v/>
      </c>
      <c r="I121" s="55"/>
    </row>
    <row r="122">
      <c r="A122" s="67"/>
      <c r="B122" s="73"/>
      <c r="C122" s="74"/>
      <c r="D122" s="75"/>
      <c r="E122" s="76"/>
      <c r="F122" s="75"/>
      <c r="G122" s="62"/>
      <c r="H122" s="63" t="str">
        <f t="shared" si="1"/>
        <v/>
      </c>
      <c r="I122" s="55"/>
    </row>
    <row r="123">
      <c r="A123" s="67"/>
      <c r="B123" s="73"/>
      <c r="C123" s="74"/>
      <c r="D123" s="75"/>
      <c r="E123" s="76"/>
      <c r="F123" s="75"/>
      <c r="G123" s="62"/>
      <c r="H123" s="63" t="str">
        <f t="shared" si="1"/>
        <v/>
      </c>
      <c r="I123" s="55"/>
    </row>
    <row r="124">
      <c r="A124" s="67"/>
      <c r="B124" s="73"/>
      <c r="C124" s="74"/>
      <c r="D124" s="75"/>
      <c r="E124" s="76"/>
      <c r="F124" s="75"/>
      <c r="G124" s="62"/>
      <c r="H124" s="63" t="str">
        <f t="shared" si="1"/>
        <v/>
      </c>
      <c r="I124" s="55"/>
    </row>
    <row r="125">
      <c r="A125" s="67"/>
      <c r="B125" s="73"/>
      <c r="C125" s="74"/>
      <c r="D125" s="75"/>
      <c r="E125" s="76"/>
      <c r="F125" s="75"/>
      <c r="G125" s="62"/>
      <c r="H125" s="63" t="str">
        <f t="shared" si="1"/>
        <v/>
      </c>
      <c r="I125" s="55"/>
    </row>
    <row r="126">
      <c r="A126" s="67"/>
      <c r="B126" s="73"/>
      <c r="C126" s="74"/>
      <c r="D126" s="75"/>
      <c r="E126" s="76"/>
      <c r="F126" s="75"/>
      <c r="G126" s="62"/>
      <c r="H126" s="63" t="str">
        <f t="shared" si="1"/>
        <v/>
      </c>
      <c r="I126" s="55"/>
    </row>
    <row r="127">
      <c r="A127" s="67"/>
      <c r="B127" s="73"/>
      <c r="C127" s="74"/>
      <c r="D127" s="75"/>
      <c r="E127" s="76"/>
      <c r="F127" s="75"/>
      <c r="G127" s="62"/>
      <c r="H127" s="63" t="str">
        <f t="shared" si="1"/>
        <v/>
      </c>
      <c r="I127" s="55"/>
    </row>
    <row r="128">
      <c r="A128" s="67"/>
      <c r="B128" s="73"/>
      <c r="C128" s="74"/>
      <c r="D128" s="75"/>
      <c r="E128" s="76"/>
      <c r="F128" s="75"/>
      <c r="G128" s="62"/>
      <c r="H128" s="63" t="str">
        <f t="shared" si="1"/>
        <v/>
      </c>
      <c r="I128" s="55"/>
    </row>
    <row r="129">
      <c r="A129" s="67"/>
      <c r="B129" s="73"/>
      <c r="C129" s="74"/>
      <c r="D129" s="75"/>
      <c r="E129" s="76"/>
      <c r="F129" s="75"/>
      <c r="G129" s="62"/>
      <c r="H129" s="63" t="str">
        <f t="shared" si="1"/>
        <v/>
      </c>
      <c r="I129" s="55"/>
    </row>
    <row r="130">
      <c r="A130" s="67"/>
      <c r="B130" s="73"/>
      <c r="C130" s="74"/>
      <c r="D130" s="75"/>
      <c r="E130" s="76"/>
      <c r="F130" s="75"/>
      <c r="G130" s="62"/>
      <c r="H130" s="63" t="str">
        <f t="shared" si="1"/>
        <v/>
      </c>
      <c r="I130" s="55"/>
    </row>
    <row r="131">
      <c r="A131" s="67"/>
      <c r="B131" s="73"/>
      <c r="C131" s="74"/>
      <c r="D131" s="75"/>
      <c r="E131" s="76"/>
      <c r="F131" s="75"/>
      <c r="G131" s="62"/>
      <c r="H131" s="63" t="str">
        <f t="shared" si="1"/>
        <v/>
      </c>
      <c r="I131" s="55"/>
    </row>
    <row r="132">
      <c r="A132" s="67"/>
      <c r="B132" s="73"/>
      <c r="C132" s="74"/>
      <c r="D132" s="75"/>
      <c r="E132" s="76"/>
      <c r="F132" s="75"/>
      <c r="G132" s="62"/>
      <c r="H132" s="63" t="str">
        <f t="shared" si="1"/>
        <v/>
      </c>
      <c r="I132" s="55"/>
    </row>
    <row r="133">
      <c r="A133" s="67"/>
      <c r="B133" s="73"/>
      <c r="C133" s="74"/>
      <c r="D133" s="75"/>
      <c r="E133" s="76"/>
      <c r="F133" s="75"/>
      <c r="G133" s="62"/>
      <c r="H133" s="63" t="str">
        <f t="shared" si="1"/>
        <v/>
      </c>
      <c r="I133" s="55"/>
    </row>
    <row r="134">
      <c r="A134" s="67"/>
      <c r="B134" s="73"/>
      <c r="C134" s="74"/>
      <c r="D134" s="75"/>
      <c r="E134" s="76"/>
      <c r="F134" s="75"/>
      <c r="G134" s="62"/>
      <c r="H134" s="63" t="str">
        <f t="shared" si="1"/>
        <v/>
      </c>
      <c r="I134" s="55"/>
    </row>
    <row r="135">
      <c r="A135" s="67"/>
      <c r="B135" s="73"/>
      <c r="C135" s="74"/>
      <c r="D135" s="75"/>
      <c r="E135" s="76"/>
      <c r="F135" s="75"/>
      <c r="G135" s="62"/>
      <c r="H135" s="63" t="str">
        <f t="shared" si="1"/>
        <v/>
      </c>
      <c r="I135" s="55"/>
    </row>
    <row r="136">
      <c r="A136" s="67"/>
      <c r="B136" s="73"/>
      <c r="C136" s="74"/>
      <c r="D136" s="75"/>
      <c r="E136" s="76"/>
      <c r="F136" s="75"/>
      <c r="G136" s="62"/>
      <c r="H136" s="63" t="str">
        <f t="shared" si="1"/>
        <v/>
      </c>
      <c r="I136" s="55"/>
    </row>
    <row r="137">
      <c r="A137" s="67"/>
      <c r="B137" s="73"/>
      <c r="C137" s="74"/>
      <c r="D137" s="75"/>
      <c r="E137" s="76"/>
      <c r="F137" s="75"/>
      <c r="G137" s="62"/>
      <c r="H137" s="63" t="str">
        <f t="shared" si="1"/>
        <v/>
      </c>
      <c r="I137" s="55"/>
    </row>
    <row r="138">
      <c r="A138" s="67"/>
      <c r="B138" s="73"/>
      <c r="C138" s="74"/>
      <c r="D138" s="75"/>
      <c r="E138" s="76"/>
      <c r="F138" s="75"/>
      <c r="G138" s="62"/>
      <c r="H138" s="63" t="str">
        <f t="shared" si="1"/>
        <v/>
      </c>
      <c r="I138" s="55"/>
    </row>
    <row r="139">
      <c r="A139" s="67"/>
      <c r="B139" s="73"/>
      <c r="C139" s="74"/>
      <c r="D139" s="75"/>
      <c r="E139" s="76"/>
      <c r="F139" s="75"/>
      <c r="G139" s="62"/>
      <c r="H139" s="63" t="str">
        <f t="shared" si="1"/>
        <v/>
      </c>
      <c r="I139" s="55"/>
    </row>
    <row r="140">
      <c r="A140" s="67"/>
      <c r="B140" s="73"/>
      <c r="C140" s="74"/>
      <c r="D140" s="75"/>
      <c r="E140" s="76"/>
      <c r="F140" s="75"/>
      <c r="G140" s="62"/>
      <c r="H140" s="63" t="str">
        <f t="shared" si="1"/>
        <v/>
      </c>
      <c r="I140" s="55"/>
    </row>
    <row r="141">
      <c r="A141" s="67"/>
      <c r="B141" s="73"/>
      <c r="C141" s="74"/>
      <c r="D141" s="75"/>
      <c r="E141" s="76"/>
      <c r="F141" s="75"/>
      <c r="G141" s="62"/>
      <c r="H141" s="63" t="str">
        <f t="shared" si="1"/>
        <v/>
      </c>
      <c r="I141" s="55"/>
    </row>
    <row r="142">
      <c r="A142" s="67"/>
      <c r="B142" s="73"/>
      <c r="C142" s="74"/>
      <c r="D142" s="75"/>
      <c r="E142" s="76"/>
      <c r="F142" s="75"/>
      <c r="G142" s="62"/>
      <c r="H142" s="63" t="str">
        <f t="shared" si="1"/>
        <v/>
      </c>
      <c r="I142" s="55"/>
    </row>
    <row r="143">
      <c r="A143" s="67"/>
      <c r="B143" s="73"/>
      <c r="C143" s="74"/>
      <c r="D143" s="75"/>
      <c r="E143" s="76"/>
      <c r="F143" s="75"/>
      <c r="G143" s="62"/>
      <c r="H143" s="63" t="str">
        <f t="shared" si="1"/>
        <v/>
      </c>
      <c r="I143" s="55"/>
    </row>
    <row r="144">
      <c r="A144" s="67"/>
      <c r="B144" s="73"/>
      <c r="C144" s="74"/>
      <c r="D144" s="75"/>
      <c r="E144" s="76"/>
      <c r="F144" s="75"/>
      <c r="G144" s="62"/>
      <c r="H144" s="63" t="str">
        <f t="shared" si="1"/>
        <v/>
      </c>
      <c r="I144" s="55"/>
    </row>
    <row r="145">
      <c r="A145" s="67"/>
      <c r="B145" s="73"/>
      <c r="C145" s="74"/>
      <c r="D145" s="75"/>
      <c r="E145" s="76"/>
      <c r="F145" s="75"/>
      <c r="G145" s="62"/>
      <c r="H145" s="63" t="str">
        <f t="shared" si="1"/>
        <v/>
      </c>
      <c r="I145" s="55"/>
    </row>
    <row r="146">
      <c r="A146" s="67"/>
      <c r="B146" s="73"/>
      <c r="C146" s="74"/>
      <c r="D146" s="75"/>
      <c r="E146" s="76"/>
      <c r="F146" s="75"/>
      <c r="G146" s="62"/>
      <c r="H146" s="63" t="str">
        <f t="shared" si="1"/>
        <v/>
      </c>
      <c r="I146" s="55"/>
    </row>
    <row r="147">
      <c r="A147" s="67"/>
      <c r="B147" s="73"/>
      <c r="C147" s="74"/>
      <c r="D147" s="75"/>
      <c r="E147" s="76"/>
      <c r="F147" s="75"/>
      <c r="G147" s="62"/>
      <c r="H147" s="63" t="str">
        <f t="shared" si="1"/>
        <v/>
      </c>
      <c r="I147" s="55"/>
    </row>
    <row r="148">
      <c r="A148" s="67"/>
      <c r="B148" s="73"/>
      <c r="C148" s="74"/>
      <c r="D148" s="75"/>
      <c r="E148" s="76"/>
      <c r="F148" s="75"/>
      <c r="G148" s="62"/>
      <c r="H148" s="63" t="str">
        <f t="shared" si="1"/>
        <v/>
      </c>
      <c r="I148" s="55"/>
    </row>
    <row r="149">
      <c r="A149" s="67"/>
      <c r="B149" s="73"/>
      <c r="C149" s="74"/>
      <c r="D149" s="75"/>
      <c r="E149" s="76"/>
      <c r="F149" s="75"/>
      <c r="G149" s="62"/>
      <c r="H149" s="63" t="str">
        <f t="shared" si="1"/>
        <v/>
      </c>
      <c r="I149" s="55"/>
    </row>
    <row r="150">
      <c r="A150" s="67"/>
      <c r="B150" s="73"/>
      <c r="C150" s="74"/>
      <c r="D150" s="75"/>
      <c r="E150" s="76"/>
      <c r="F150" s="75"/>
      <c r="G150" s="62"/>
      <c r="H150" s="63" t="str">
        <f t="shared" si="1"/>
        <v/>
      </c>
      <c r="I150" s="55"/>
    </row>
    <row r="151">
      <c r="A151" s="67"/>
      <c r="B151" s="73"/>
      <c r="C151" s="74"/>
      <c r="D151" s="75"/>
      <c r="E151" s="76"/>
      <c r="F151" s="75"/>
      <c r="G151" s="62"/>
      <c r="H151" s="63" t="str">
        <f t="shared" si="1"/>
        <v/>
      </c>
      <c r="I151" s="55"/>
    </row>
    <row r="152">
      <c r="A152" s="67"/>
      <c r="B152" s="73"/>
      <c r="C152" s="74"/>
      <c r="D152" s="75"/>
      <c r="E152" s="76"/>
      <c r="F152" s="75"/>
      <c r="G152" s="62"/>
      <c r="H152" s="63" t="str">
        <f t="shared" si="1"/>
        <v/>
      </c>
      <c r="I152" s="55"/>
    </row>
    <row r="153">
      <c r="A153" s="67"/>
      <c r="B153" s="73"/>
      <c r="C153" s="74"/>
      <c r="D153" s="75"/>
      <c r="E153" s="76"/>
      <c r="F153" s="75"/>
      <c r="G153" s="62"/>
      <c r="H153" s="63" t="str">
        <f t="shared" si="1"/>
        <v/>
      </c>
      <c r="I153" s="55"/>
    </row>
    <row r="154">
      <c r="A154" s="67"/>
      <c r="B154" s="73"/>
      <c r="C154" s="74"/>
      <c r="D154" s="75"/>
      <c r="E154" s="76"/>
      <c r="F154" s="75"/>
      <c r="G154" s="62"/>
      <c r="H154" s="63" t="str">
        <f t="shared" si="1"/>
        <v/>
      </c>
      <c r="I154" s="55"/>
    </row>
    <row r="155">
      <c r="A155" s="67"/>
      <c r="B155" s="73"/>
      <c r="C155" s="74"/>
      <c r="D155" s="75"/>
      <c r="E155" s="76"/>
      <c r="F155" s="75"/>
      <c r="G155" s="62"/>
      <c r="H155" s="63" t="str">
        <f t="shared" si="1"/>
        <v/>
      </c>
      <c r="I155" s="55"/>
    </row>
    <row r="156">
      <c r="A156" s="67"/>
      <c r="B156" s="73"/>
      <c r="C156" s="74"/>
      <c r="D156" s="75"/>
      <c r="E156" s="76"/>
      <c r="F156" s="75"/>
      <c r="G156" s="62"/>
      <c r="H156" s="63" t="str">
        <f t="shared" si="1"/>
        <v/>
      </c>
      <c r="I156" s="55"/>
    </row>
    <row r="157">
      <c r="A157" s="67"/>
      <c r="B157" s="73"/>
      <c r="C157" s="74"/>
      <c r="D157" s="75"/>
      <c r="E157" s="76"/>
      <c r="F157" s="75"/>
      <c r="G157" s="62"/>
      <c r="H157" s="63" t="str">
        <f t="shared" si="1"/>
        <v/>
      </c>
      <c r="I157" s="55"/>
    </row>
    <row r="158">
      <c r="A158" s="67"/>
      <c r="B158" s="73"/>
      <c r="C158" s="74"/>
      <c r="D158" s="75"/>
      <c r="E158" s="76"/>
      <c r="F158" s="75"/>
      <c r="G158" s="62"/>
      <c r="H158" s="63" t="str">
        <f t="shared" si="1"/>
        <v/>
      </c>
      <c r="I158" s="55"/>
    </row>
    <row r="159">
      <c r="A159" s="67"/>
      <c r="B159" s="73"/>
      <c r="C159" s="74"/>
      <c r="D159" s="75"/>
      <c r="E159" s="76"/>
      <c r="F159" s="75"/>
      <c r="G159" s="62"/>
      <c r="H159" s="63" t="str">
        <f t="shared" si="1"/>
        <v/>
      </c>
      <c r="I159" s="55"/>
    </row>
    <row r="160">
      <c r="A160" s="67"/>
      <c r="B160" s="73"/>
      <c r="C160" s="74"/>
      <c r="D160" s="75"/>
      <c r="E160" s="76"/>
      <c r="F160" s="75"/>
      <c r="G160" s="62"/>
      <c r="H160" s="63" t="str">
        <f t="shared" si="1"/>
        <v/>
      </c>
      <c r="I160" s="55"/>
    </row>
    <row r="161">
      <c r="A161" s="67"/>
      <c r="B161" s="73"/>
      <c r="C161" s="74"/>
      <c r="D161" s="75"/>
      <c r="E161" s="76"/>
      <c r="F161" s="75"/>
      <c r="G161" s="62"/>
      <c r="H161" s="63" t="str">
        <f t="shared" si="1"/>
        <v/>
      </c>
      <c r="I161" s="55"/>
    </row>
    <row r="162">
      <c r="A162" s="67"/>
      <c r="B162" s="73"/>
      <c r="C162" s="74"/>
      <c r="D162" s="75"/>
      <c r="E162" s="76"/>
      <c r="F162" s="75"/>
      <c r="G162" s="62"/>
      <c r="H162" s="63" t="str">
        <f t="shared" si="1"/>
        <v/>
      </c>
      <c r="I162" s="55"/>
    </row>
    <row r="163">
      <c r="A163" s="67"/>
      <c r="B163" s="73"/>
      <c r="C163" s="74"/>
      <c r="D163" s="75"/>
      <c r="E163" s="76"/>
      <c r="F163" s="75"/>
      <c r="G163" s="62"/>
      <c r="H163" s="63" t="str">
        <f t="shared" si="1"/>
        <v/>
      </c>
      <c r="I163" s="55"/>
    </row>
    <row r="164">
      <c r="A164" s="67"/>
      <c r="B164" s="73"/>
      <c r="C164" s="74"/>
      <c r="D164" s="75"/>
      <c r="E164" s="76"/>
      <c r="F164" s="75"/>
      <c r="G164" s="62"/>
      <c r="H164" s="63" t="str">
        <f t="shared" si="1"/>
        <v/>
      </c>
      <c r="I164" s="55"/>
    </row>
    <row r="165">
      <c r="A165" s="67"/>
      <c r="B165" s="73"/>
      <c r="C165" s="74"/>
      <c r="D165" s="75"/>
      <c r="E165" s="76"/>
      <c r="F165" s="75"/>
      <c r="G165" s="62"/>
      <c r="H165" s="63" t="str">
        <f t="shared" si="1"/>
        <v/>
      </c>
      <c r="I165" s="55"/>
    </row>
    <row r="166">
      <c r="A166" s="67"/>
      <c r="B166" s="73"/>
      <c r="C166" s="74"/>
      <c r="D166" s="75"/>
      <c r="E166" s="76"/>
      <c r="F166" s="75"/>
      <c r="G166" s="62"/>
      <c r="H166" s="63" t="str">
        <f t="shared" si="1"/>
        <v/>
      </c>
      <c r="I166" s="55"/>
    </row>
    <row r="167">
      <c r="A167" s="67"/>
      <c r="B167" s="73"/>
      <c r="C167" s="74"/>
      <c r="D167" s="75"/>
      <c r="E167" s="76"/>
      <c r="F167" s="75"/>
      <c r="G167" s="62"/>
      <c r="H167" s="63" t="str">
        <f t="shared" si="1"/>
        <v/>
      </c>
      <c r="I167" s="55"/>
    </row>
    <row r="168">
      <c r="A168" s="67"/>
      <c r="B168" s="73"/>
      <c r="C168" s="74"/>
      <c r="D168" s="75"/>
      <c r="E168" s="76"/>
      <c r="F168" s="75"/>
      <c r="G168" s="62"/>
      <c r="H168" s="63" t="str">
        <f t="shared" si="1"/>
        <v/>
      </c>
      <c r="I168" s="55"/>
    </row>
    <row r="169">
      <c r="A169" s="67"/>
      <c r="B169" s="73"/>
      <c r="C169" s="74"/>
      <c r="D169" s="75"/>
      <c r="E169" s="76"/>
      <c r="F169" s="75"/>
      <c r="G169" s="62"/>
      <c r="H169" s="63" t="str">
        <f t="shared" si="1"/>
        <v/>
      </c>
      <c r="I169" s="55"/>
    </row>
    <row r="170">
      <c r="A170" s="67"/>
      <c r="B170" s="73"/>
      <c r="C170" s="74"/>
      <c r="D170" s="75"/>
      <c r="E170" s="76"/>
      <c r="F170" s="75"/>
      <c r="G170" s="62"/>
      <c r="H170" s="63" t="str">
        <f t="shared" si="1"/>
        <v/>
      </c>
      <c r="I170" s="55"/>
    </row>
    <row r="171">
      <c r="A171" s="67"/>
      <c r="B171" s="73"/>
      <c r="C171" s="74"/>
      <c r="D171" s="75"/>
      <c r="E171" s="76"/>
      <c r="F171" s="75"/>
      <c r="G171" s="62"/>
      <c r="H171" s="63" t="str">
        <f t="shared" si="1"/>
        <v/>
      </c>
      <c r="I171" s="55"/>
    </row>
    <row r="172">
      <c r="A172" s="67"/>
      <c r="B172" s="73"/>
      <c r="C172" s="74"/>
      <c r="D172" s="75"/>
      <c r="E172" s="76"/>
      <c r="F172" s="75"/>
      <c r="G172" s="62"/>
      <c r="H172" s="63" t="str">
        <f t="shared" si="1"/>
        <v/>
      </c>
      <c r="I172" s="55"/>
    </row>
    <row r="173">
      <c r="A173" s="67"/>
      <c r="B173" s="73"/>
      <c r="C173" s="74"/>
      <c r="D173" s="75"/>
      <c r="E173" s="76"/>
      <c r="F173" s="75"/>
      <c r="G173" s="62"/>
      <c r="H173" s="63" t="str">
        <f t="shared" si="1"/>
        <v/>
      </c>
      <c r="I173" s="55"/>
    </row>
    <row r="174">
      <c r="A174" s="67"/>
      <c r="B174" s="73"/>
      <c r="C174" s="74"/>
      <c r="D174" s="75"/>
      <c r="E174" s="76"/>
      <c r="F174" s="75"/>
      <c r="G174" s="62"/>
      <c r="H174" s="63" t="str">
        <f t="shared" si="1"/>
        <v/>
      </c>
      <c r="I174" s="55"/>
    </row>
    <row r="175">
      <c r="A175" s="67"/>
      <c r="B175" s="73"/>
      <c r="C175" s="74"/>
      <c r="D175" s="75"/>
      <c r="E175" s="76"/>
      <c r="F175" s="75"/>
      <c r="G175" s="62"/>
      <c r="H175" s="63" t="str">
        <f t="shared" si="1"/>
        <v/>
      </c>
      <c r="I175" s="55"/>
    </row>
    <row r="176">
      <c r="A176" s="67"/>
      <c r="B176" s="73"/>
      <c r="C176" s="74"/>
      <c r="D176" s="75"/>
      <c r="E176" s="76"/>
      <c r="F176" s="75"/>
      <c r="G176" s="62"/>
      <c r="H176" s="63" t="str">
        <f t="shared" si="1"/>
        <v/>
      </c>
      <c r="I176" s="55"/>
    </row>
    <row r="177">
      <c r="A177" s="67"/>
      <c r="B177" s="73"/>
      <c r="C177" s="74"/>
      <c r="D177" s="75"/>
      <c r="E177" s="76"/>
      <c r="F177" s="75"/>
      <c r="G177" s="62"/>
      <c r="H177" s="63" t="str">
        <f t="shared" si="1"/>
        <v/>
      </c>
      <c r="I177" s="55"/>
    </row>
    <row r="178">
      <c r="A178" s="67"/>
      <c r="B178" s="73"/>
      <c r="C178" s="74"/>
      <c r="D178" s="75"/>
      <c r="E178" s="76"/>
      <c r="F178" s="75"/>
      <c r="G178" s="62"/>
      <c r="H178" s="63" t="str">
        <f t="shared" si="1"/>
        <v/>
      </c>
      <c r="I178" s="55"/>
    </row>
    <row r="179">
      <c r="A179" s="67"/>
      <c r="B179" s="73"/>
      <c r="C179" s="74"/>
      <c r="D179" s="75"/>
      <c r="E179" s="76"/>
      <c r="F179" s="75"/>
      <c r="G179" s="62"/>
      <c r="H179" s="63" t="str">
        <f t="shared" si="1"/>
        <v/>
      </c>
      <c r="I179" s="55"/>
    </row>
    <row r="180">
      <c r="A180" s="67"/>
      <c r="B180" s="73"/>
      <c r="C180" s="74"/>
      <c r="D180" s="75"/>
      <c r="E180" s="76"/>
      <c r="F180" s="75"/>
      <c r="G180" s="62"/>
      <c r="H180" s="63" t="str">
        <f t="shared" si="1"/>
        <v/>
      </c>
      <c r="I180" s="55"/>
    </row>
    <row r="181">
      <c r="A181" s="67"/>
      <c r="B181" s="73"/>
      <c r="C181" s="74"/>
      <c r="D181" s="75"/>
      <c r="E181" s="76"/>
      <c r="F181" s="75"/>
      <c r="G181" s="62"/>
      <c r="H181" s="63" t="str">
        <f t="shared" si="1"/>
        <v/>
      </c>
      <c r="I181" s="55"/>
    </row>
    <row r="182">
      <c r="A182" s="67"/>
      <c r="B182" s="73"/>
      <c r="C182" s="74"/>
      <c r="D182" s="75"/>
      <c r="E182" s="76"/>
      <c r="F182" s="75"/>
      <c r="G182" s="62"/>
      <c r="H182" s="63" t="str">
        <f t="shared" si="1"/>
        <v/>
      </c>
      <c r="I182" s="55"/>
    </row>
    <row r="183">
      <c r="A183" s="67"/>
      <c r="B183" s="73"/>
      <c r="C183" s="74"/>
      <c r="D183" s="75"/>
      <c r="E183" s="76"/>
      <c r="F183" s="75"/>
      <c r="G183" s="62"/>
      <c r="H183" s="63" t="str">
        <f t="shared" si="1"/>
        <v/>
      </c>
      <c r="I183" s="55"/>
    </row>
    <row r="184">
      <c r="A184" s="67"/>
      <c r="B184" s="73"/>
      <c r="C184" s="74"/>
      <c r="D184" s="75"/>
      <c r="E184" s="76"/>
      <c r="F184" s="75"/>
      <c r="G184" s="62"/>
      <c r="H184" s="63" t="str">
        <f t="shared" si="1"/>
        <v/>
      </c>
      <c r="I184" s="55"/>
    </row>
    <row r="185">
      <c r="A185" s="67"/>
      <c r="B185" s="73"/>
      <c r="C185" s="74"/>
      <c r="D185" s="75"/>
      <c r="E185" s="76"/>
      <c r="F185" s="75"/>
      <c r="G185" s="62"/>
      <c r="H185" s="63" t="str">
        <f t="shared" si="1"/>
        <v/>
      </c>
      <c r="I185" s="55"/>
    </row>
    <row r="186">
      <c r="A186" s="67"/>
      <c r="B186" s="73"/>
      <c r="C186" s="74"/>
      <c r="D186" s="75"/>
      <c r="E186" s="76"/>
      <c r="F186" s="75"/>
      <c r="G186" s="62"/>
      <c r="H186" s="63" t="str">
        <f t="shared" si="1"/>
        <v/>
      </c>
      <c r="I186" s="55"/>
    </row>
    <row r="187">
      <c r="A187" s="67"/>
      <c r="B187" s="73"/>
      <c r="C187" s="74"/>
      <c r="D187" s="75"/>
      <c r="E187" s="76"/>
      <c r="F187" s="75"/>
      <c r="G187" s="62"/>
      <c r="H187" s="63" t="str">
        <f t="shared" si="1"/>
        <v/>
      </c>
      <c r="I187" s="55"/>
    </row>
    <row r="188">
      <c r="A188" s="67"/>
      <c r="B188" s="73"/>
      <c r="C188" s="74"/>
      <c r="D188" s="75"/>
      <c r="E188" s="76"/>
      <c r="F188" s="75"/>
      <c r="G188" s="62"/>
      <c r="H188" s="63" t="str">
        <f t="shared" si="1"/>
        <v/>
      </c>
      <c r="I188" s="55"/>
    </row>
    <row r="189">
      <c r="A189" s="67"/>
      <c r="B189" s="73"/>
      <c r="C189" s="74"/>
      <c r="D189" s="75"/>
      <c r="E189" s="76"/>
      <c r="F189" s="75"/>
      <c r="G189" s="62"/>
      <c r="H189" s="63" t="str">
        <f t="shared" si="1"/>
        <v/>
      </c>
      <c r="I189" s="55"/>
    </row>
    <row r="190">
      <c r="A190" s="67"/>
      <c r="B190" s="73"/>
      <c r="C190" s="74"/>
      <c r="D190" s="75"/>
      <c r="E190" s="76"/>
      <c r="F190" s="75"/>
      <c r="G190" s="62"/>
      <c r="H190" s="63" t="str">
        <f t="shared" si="1"/>
        <v/>
      </c>
      <c r="I190" s="55"/>
    </row>
    <row r="191">
      <c r="A191" s="67"/>
      <c r="B191" s="73"/>
      <c r="C191" s="74"/>
      <c r="D191" s="75"/>
      <c r="E191" s="76"/>
      <c r="F191" s="75"/>
      <c r="G191" s="62"/>
      <c r="H191" s="63" t="str">
        <f t="shared" si="1"/>
        <v/>
      </c>
      <c r="I191" s="55"/>
    </row>
    <row r="192">
      <c r="A192" s="67"/>
      <c r="B192" s="73"/>
      <c r="C192" s="74"/>
      <c r="D192" s="75"/>
      <c r="E192" s="76"/>
      <c r="F192" s="75"/>
      <c r="G192" s="62"/>
      <c r="H192" s="63" t="str">
        <f t="shared" si="1"/>
        <v/>
      </c>
      <c r="I192" s="55"/>
    </row>
    <row r="193">
      <c r="A193" s="67"/>
      <c r="B193" s="73"/>
      <c r="C193" s="74"/>
      <c r="D193" s="75"/>
      <c r="E193" s="76"/>
      <c r="F193" s="75"/>
      <c r="G193" s="62"/>
      <c r="H193" s="63" t="str">
        <f t="shared" si="1"/>
        <v/>
      </c>
      <c r="I193" s="55"/>
    </row>
    <row r="194">
      <c r="A194" s="67"/>
      <c r="B194" s="73"/>
      <c r="C194" s="74"/>
      <c r="D194" s="75"/>
      <c r="E194" s="76"/>
      <c r="F194" s="75"/>
      <c r="G194" s="62"/>
      <c r="H194" s="63" t="str">
        <f t="shared" si="1"/>
        <v/>
      </c>
      <c r="I194" s="55"/>
    </row>
    <row r="195">
      <c r="A195" s="67"/>
      <c r="B195" s="73"/>
      <c r="C195" s="74"/>
      <c r="D195" s="75"/>
      <c r="E195" s="76"/>
      <c r="F195" s="75"/>
      <c r="G195" s="62"/>
      <c r="H195" s="63" t="str">
        <f t="shared" si="1"/>
        <v/>
      </c>
      <c r="I195" s="55"/>
    </row>
    <row r="196">
      <c r="A196" s="67"/>
      <c r="B196" s="73"/>
      <c r="C196" s="74"/>
      <c r="D196" s="75"/>
      <c r="E196" s="76"/>
      <c r="F196" s="75"/>
      <c r="G196" s="62"/>
      <c r="H196" s="63" t="str">
        <f t="shared" si="1"/>
        <v/>
      </c>
      <c r="I196" s="55"/>
    </row>
    <row r="197">
      <c r="A197" s="67"/>
      <c r="B197" s="73"/>
      <c r="C197" s="74"/>
      <c r="D197" s="75"/>
      <c r="E197" s="76"/>
      <c r="F197" s="75"/>
      <c r="G197" s="62"/>
      <c r="H197" s="63" t="str">
        <f t="shared" si="1"/>
        <v/>
      </c>
      <c r="I197" s="55"/>
    </row>
    <row r="198">
      <c r="A198" s="67"/>
      <c r="B198" s="73"/>
      <c r="C198" s="74"/>
      <c r="D198" s="75"/>
      <c r="E198" s="76"/>
      <c r="F198" s="75"/>
      <c r="G198" s="62"/>
      <c r="H198" s="63" t="str">
        <f t="shared" si="1"/>
        <v/>
      </c>
      <c r="I198" s="55"/>
    </row>
    <row r="199">
      <c r="A199" s="67"/>
      <c r="B199" s="73"/>
      <c r="C199" s="74"/>
      <c r="D199" s="75"/>
      <c r="E199" s="76"/>
      <c r="F199" s="75"/>
      <c r="G199" s="62"/>
      <c r="H199" s="63" t="str">
        <f t="shared" si="1"/>
        <v/>
      </c>
      <c r="I199" s="55"/>
    </row>
    <row r="200">
      <c r="A200" s="67"/>
      <c r="B200" s="73"/>
      <c r="C200" s="74"/>
      <c r="D200" s="75"/>
      <c r="E200" s="76"/>
      <c r="F200" s="75"/>
      <c r="G200" s="62"/>
      <c r="H200" s="63" t="str">
        <f t="shared" si="1"/>
        <v/>
      </c>
      <c r="I200" s="55"/>
    </row>
    <row r="201">
      <c r="A201" s="67"/>
      <c r="B201" s="73"/>
      <c r="C201" s="74"/>
      <c r="D201" s="75"/>
      <c r="E201" s="76"/>
      <c r="F201" s="75"/>
      <c r="G201" s="62"/>
      <c r="H201" s="63" t="str">
        <f t="shared" si="1"/>
        <v/>
      </c>
      <c r="I201" s="55"/>
    </row>
    <row r="202">
      <c r="A202" s="67"/>
      <c r="B202" s="73"/>
      <c r="C202" s="74"/>
      <c r="D202" s="75"/>
      <c r="E202" s="76"/>
      <c r="F202" s="75"/>
      <c r="G202" s="62"/>
      <c r="H202" s="63" t="str">
        <f t="shared" si="1"/>
        <v/>
      </c>
      <c r="I202" s="55"/>
    </row>
    <row r="203">
      <c r="A203" s="67"/>
      <c r="B203" s="73"/>
      <c r="C203" s="74"/>
      <c r="D203" s="75"/>
      <c r="E203" s="76"/>
      <c r="F203" s="75"/>
      <c r="G203" s="62"/>
      <c r="H203" s="63" t="str">
        <f t="shared" si="1"/>
        <v/>
      </c>
      <c r="I203" s="55"/>
    </row>
    <row r="204">
      <c r="A204" s="67"/>
      <c r="B204" s="73"/>
      <c r="C204" s="74"/>
      <c r="D204" s="75"/>
      <c r="E204" s="76"/>
      <c r="F204" s="75"/>
      <c r="G204" s="62"/>
      <c r="H204" s="63" t="str">
        <f t="shared" si="1"/>
        <v/>
      </c>
      <c r="I204" s="55"/>
    </row>
    <row r="205">
      <c r="A205" s="67"/>
      <c r="B205" s="73"/>
      <c r="C205" s="74"/>
      <c r="D205" s="75"/>
      <c r="E205" s="76"/>
      <c r="F205" s="75"/>
      <c r="G205" s="62"/>
      <c r="H205" s="63" t="str">
        <f t="shared" si="1"/>
        <v/>
      </c>
      <c r="I205" s="55"/>
    </row>
    <row r="206">
      <c r="A206" s="67"/>
      <c r="B206" s="73"/>
      <c r="C206" s="74"/>
      <c r="D206" s="75"/>
      <c r="E206" s="76"/>
      <c r="F206" s="75"/>
      <c r="G206" s="62"/>
      <c r="H206" s="63" t="str">
        <f t="shared" si="1"/>
        <v/>
      </c>
      <c r="I206" s="55"/>
    </row>
    <row r="207">
      <c r="A207" s="67"/>
      <c r="B207" s="73"/>
      <c r="C207" s="74"/>
      <c r="D207" s="75"/>
      <c r="E207" s="76"/>
      <c r="F207" s="75"/>
      <c r="G207" s="62"/>
      <c r="H207" s="63" t="str">
        <f t="shared" si="1"/>
        <v/>
      </c>
      <c r="I207" s="55"/>
    </row>
    <row r="208">
      <c r="A208" s="67"/>
      <c r="B208" s="73"/>
      <c r="C208" s="74"/>
      <c r="D208" s="75"/>
      <c r="E208" s="76"/>
      <c r="F208" s="75"/>
      <c r="G208" s="62"/>
      <c r="H208" s="63" t="str">
        <f t="shared" si="1"/>
        <v/>
      </c>
      <c r="I208" s="55"/>
    </row>
    <row r="209">
      <c r="A209" s="67"/>
      <c r="B209" s="73"/>
      <c r="C209" s="74"/>
      <c r="D209" s="75"/>
      <c r="E209" s="76"/>
      <c r="F209" s="75"/>
      <c r="G209" s="62"/>
      <c r="H209" s="63" t="str">
        <f t="shared" si="1"/>
        <v/>
      </c>
      <c r="I209" s="55"/>
    </row>
    <row r="210">
      <c r="A210" s="67"/>
      <c r="B210" s="73"/>
      <c r="C210" s="74"/>
      <c r="D210" s="75"/>
      <c r="E210" s="76"/>
      <c r="F210" s="75"/>
      <c r="G210" s="62"/>
      <c r="H210" s="63" t="str">
        <f t="shared" si="1"/>
        <v/>
      </c>
      <c r="I210" s="55"/>
    </row>
    <row r="211">
      <c r="A211" s="67"/>
      <c r="B211" s="73"/>
      <c r="C211" s="74"/>
      <c r="D211" s="75"/>
      <c r="E211" s="76"/>
      <c r="F211" s="75"/>
      <c r="G211" s="62"/>
      <c r="H211" s="63" t="str">
        <f t="shared" si="1"/>
        <v/>
      </c>
      <c r="I211" s="55"/>
    </row>
    <row r="212">
      <c r="A212" s="67"/>
      <c r="B212" s="73"/>
      <c r="C212" s="74"/>
      <c r="D212" s="75"/>
      <c r="E212" s="76"/>
      <c r="F212" s="75"/>
      <c r="G212" s="62"/>
      <c r="H212" s="63" t="str">
        <f t="shared" si="1"/>
        <v/>
      </c>
      <c r="I212" s="55"/>
    </row>
    <row r="213">
      <c r="A213" s="67"/>
      <c r="B213" s="73"/>
      <c r="C213" s="74"/>
      <c r="D213" s="75"/>
      <c r="E213" s="76"/>
      <c r="F213" s="75"/>
      <c r="G213" s="62"/>
      <c r="H213" s="63" t="str">
        <f t="shared" si="1"/>
        <v/>
      </c>
      <c r="I213" s="55"/>
    </row>
    <row r="214">
      <c r="A214" s="67"/>
      <c r="B214" s="73"/>
      <c r="C214" s="74"/>
      <c r="D214" s="75"/>
      <c r="E214" s="76"/>
      <c r="F214" s="75"/>
      <c r="G214" s="62"/>
      <c r="H214" s="63" t="str">
        <f t="shared" si="1"/>
        <v/>
      </c>
      <c r="I214" s="55"/>
    </row>
    <row r="215">
      <c r="A215" s="67"/>
      <c r="B215" s="73"/>
      <c r="C215" s="74"/>
      <c r="D215" s="75"/>
      <c r="E215" s="76"/>
      <c r="F215" s="75"/>
      <c r="G215" s="62"/>
      <c r="H215" s="63" t="str">
        <f t="shared" si="1"/>
        <v/>
      </c>
      <c r="I215" s="55"/>
    </row>
    <row r="216">
      <c r="A216" s="67"/>
      <c r="B216" s="73"/>
      <c r="C216" s="74"/>
      <c r="D216" s="75"/>
      <c r="E216" s="76"/>
      <c r="F216" s="75"/>
      <c r="G216" s="62"/>
      <c r="H216" s="63" t="str">
        <f t="shared" si="1"/>
        <v/>
      </c>
      <c r="I216" s="55"/>
    </row>
    <row r="217">
      <c r="A217" s="67"/>
      <c r="B217" s="73"/>
      <c r="C217" s="74"/>
      <c r="D217" s="75"/>
      <c r="E217" s="76"/>
      <c r="F217" s="75"/>
      <c r="G217" s="62"/>
      <c r="H217" s="63" t="str">
        <f t="shared" si="1"/>
        <v/>
      </c>
      <c r="I217" s="55"/>
    </row>
    <row r="218">
      <c r="A218" s="67"/>
      <c r="B218" s="73"/>
      <c r="C218" s="74"/>
      <c r="D218" s="75"/>
      <c r="E218" s="76"/>
      <c r="F218" s="75"/>
      <c r="G218" s="62"/>
      <c r="H218" s="63" t="str">
        <f t="shared" si="1"/>
        <v/>
      </c>
      <c r="I218" s="55"/>
    </row>
    <row r="219">
      <c r="A219" s="67"/>
      <c r="B219" s="73"/>
      <c r="C219" s="74"/>
      <c r="D219" s="75"/>
      <c r="E219" s="76"/>
      <c r="F219" s="75"/>
      <c r="G219" s="62"/>
      <c r="H219" s="63" t="str">
        <f t="shared" si="1"/>
        <v/>
      </c>
      <c r="I219" s="55"/>
    </row>
    <row r="220">
      <c r="A220" s="67"/>
      <c r="B220" s="73"/>
      <c r="C220" s="74"/>
      <c r="D220" s="75"/>
      <c r="E220" s="76"/>
      <c r="F220" s="75"/>
      <c r="G220" s="62"/>
      <c r="H220" s="63" t="str">
        <f t="shared" si="1"/>
        <v/>
      </c>
      <c r="I220" s="55"/>
    </row>
    <row r="221">
      <c r="A221" s="67"/>
      <c r="B221" s="73"/>
      <c r="C221" s="74"/>
      <c r="D221" s="75"/>
      <c r="E221" s="76"/>
      <c r="F221" s="75"/>
      <c r="G221" s="62"/>
      <c r="H221" s="63" t="str">
        <f t="shared" si="1"/>
        <v/>
      </c>
      <c r="I221" s="55"/>
    </row>
    <row r="222">
      <c r="A222" s="67"/>
      <c r="B222" s="73"/>
      <c r="C222" s="74"/>
      <c r="D222" s="75"/>
      <c r="E222" s="76"/>
      <c r="F222" s="75"/>
      <c r="G222" s="62"/>
      <c r="H222" s="63" t="str">
        <f t="shared" si="1"/>
        <v/>
      </c>
      <c r="I222" s="55"/>
    </row>
    <row r="223">
      <c r="A223" s="67"/>
      <c r="B223" s="73"/>
      <c r="C223" s="74"/>
      <c r="D223" s="75"/>
      <c r="E223" s="76"/>
      <c r="F223" s="75"/>
      <c r="G223" s="62"/>
      <c r="H223" s="63" t="str">
        <f t="shared" si="1"/>
        <v/>
      </c>
      <c r="I223" s="55"/>
    </row>
    <row r="224">
      <c r="A224" s="67"/>
      <c r="B224" s="73"/>
      <c r="C224" s="74"/>
      <c r="D224" s="75"/>
      <c r="E224" s="76"/>
      <c r="F224" s="75"/>
      <c r="G224" s="62"/>
      <c r="H224" s="63" t="str">
        <f t="shared" si="1"/>
        <v/>
      </c>
      <c r="I224" s="55"/>
    </row>
    <row r="225">
      <c r="A225" s="67"/>
      <c r="B225" s="73"/>
      <c r="C225" s="74"/>
      <c r="D225" s="75"/>
      <c r="E225" s="76"/>
      <c r="F225" s="75"/>
      <c r="G225" s="62"/>
      <c r="H225" s="63" t="str">
        <f t="shared" si="1"/>
        <v/>
      </c>
      <c r="I225" s="55"/>
    </row>
    <row r="226">
      <c r="A226" s="67"/>
      <c r="B226" s="73"/>
      <c r="C226" s="74"/>
      <c r="D226" s="75"/>
      <c r="E226" s="76"/>
      <c r="F226" s="75"/>
      <c r="G226" s="62"/>
      <c r="H226" s="63" t="str">
        <f t="shared" si="1"/>
        <v/>
      </c>
      <c r="I226" s="55"/>
    </row>
    <row r="227">
      <c r="A227" s="67"/>
      <c r="B227" s="73"/>
      <c r="C227" s="74"/>
      <c r="D227" s="75"/>
      <c r="E227" s="76"/>
      <c r="F227" s="75"/>
      <c r="G227" s="62"/>
      <c r="H227" s="63" t="str">
        <f t="shared" si="1"/>
        <v/>
      </c>
      <c r="I227" s="55"/>
    </row>
    <row r="228">
      <c r="A228" s="67"/>
      <c r="B228" s="73"/>
      <c r="C228" s="74"/>
      <c r="D228" s="75"/>
      <c r="E228" s="76"/>
      <c r="F228" s="75"/>
      <c r="G228" s="62"/>
      <c r="H228" s="63" t="str">
        <f t="shared" si="1"/>
        <v/>
      </c>
      <c r="I228" s="55"/>
    </row>
    <row r="229">
      <c r="A229" s="67"/>
      <c r="B229" s="73"/>
      <c r="C229" s="74"/>
      <c r="D229" s="75"/>
      <c r="E229" s="76"/>
      <c r="F229" s="75"/>
      <c r="G229" s="62"/>
      <c r="H229" s="63" t="str">
        <f t="shared" si="1"/>
        <v/>
      </c>
      <c r="I229" s="55"/>
    </row>
    <row r="230">
      <c r="A230" s="67"/>
      <c r="B230" s="73"/>
      <c r="C230" s="74"/>
      <c r="D230" s="75"/>
      <c r="E230" s="76"/>
      <c r="F230" s="75"/>
      <c r="G230" s="62"/>
      <c r="H230" s="63" t="str">
        <f t="shared" si="1"/>
        <v/>
      </c>
      <c r="I230" s="55"/>
    </row>
    <row r="231">
      <c r="A231" s="67"/>
      <c r="B231" s="73"/>
      <c r="C231" s="74"/>
      <c r="D231" s="75"/>
      <c r="E231" s="76"/>
      <c r="F231" s="75"/>
      <c r="G231" s="62"/>
      <c r="H231" s="63" t="str">
        <f t="shared" si="1"/>
        <v/>
      </c>
      <c r="I231" s="55"/>
    </row>
    <row r="232">
      <c r="A232" s="67"/>
      <c r="B232" s="73"/>
      <c r="C232" s="74"/>
      <c r="D232" s="75"/>
      <c r="E232" s="76"/>
      <c r="F232" s="75"/>
      <c r="G232" s="62"/>
      <c r="H232" s="63" t="str">
        <f t="shared" si="1"/>
        <v/>
      </c>
      <c r="I232" s="55"/>
    </row>
    <row r="233">
      <c r="A233" s="67"/>
      <c r="B233" s="73"/>
      <c r="C233" s="74"/>
      <c r="D233" s="75"/>
      <c r="E233" s="76"/>
      <c r="F233" s="75"/>
      <c r="G233" s="62"/>
      <c r="H233" s="63" t="str">
        <f t="shared" si="1"/>
        <v/>
      </c>
      <c r="I233" s="55"/>
    </row>
    <row r="234">
      <c r="A234" s="67"/>
      <c r="B234" s="73"/>
      <c r="C234" s="74"/>
      <c r="D234" s="75"/>
      <c r="E234" s="76"/>
      <c r="F234" s="75"/>
      <c r="G234" s="62"/>
      <c r="H234" s="63" t="str">
        <f t="shared" si="1"/>
        <v/>
      </c>
      <c r="I234" s="55"/>
    </row>
    <row r="235">
      <c r="A235" s="67"/>
      <c r="B235" s="73"/>
      <c r="C235" s="74"/>
      <c r="D235" s="75"/>
      <c r="E235" s="76"/>
      <c r="F235" s="75"/>
      <c r="G235" s="62"/>
      <c r="H235" s="63" t="str">
        <f t="shared" si="1"/>
        <v/>
      </c>
      <c r="I235" s="55"/>
    </row>
    <row r="236">
      <c r="A236" s="67"/>
      <c r="B236" s="73"/>
      <c r="C236" s="74"/>
      <c r="D236" s="75"/>
      <c r="E236" s="76"/>
      <c r="F236" s="75"/>
      <c r="G236" s="62"/>
      <c r="H236" s="63" t="str">
        <f t="shared" si="1"/>
        <v/>
      </c>
      <c r="I236" s="55"/>
    </row>
    <row r="237">
      <c r="A237" s="67"/>
      <c r="B237" s="73"/>
      <c r="C237" s="74"/>
      <c r="D237" s="75"/>
      <c r="E237" s="76"/>
      <c r="F237" s="75"/>
      <c r="G237" s="62"/>
      <c r="H237" s="63" t="str">
        <f t="shared" si="1"/>
        <v/>
      </c>
      <c r="I237" s="55"/>
    </row>
    <row r="238">
      <c r="A238" s="67"/>
      <c r="B238" s="73"/>
      <c r="C238" s="74"/>
      <c r="D238" s="75"/>
      <c r="E238" s="76"/>
      <c r="F238" s="75"/>
      <c r="G238" s="62"/>
      <c r="H238" s="63" t="str">
        <f t="shared" si="1"/>
        <v/>
      </c>
      <c r="I238" s="55"/>
    </row>
    <row r="239">
      <c r="A239" s="67"/>
      <c r="B239" s="73"/>
      <c r="C239" s="74"/>
      <c r="D239" s="75"/>
      <c r="E239" s="76"/>
      <c r="F239" s="75"/>
      <c r="G239" s="62"/>
      <c r="H239" s="63" t="str">
        <f t="shared" si="1"/>
        <v/>
      </c>
      <c r="I239" s="55"/>
    </row>
    <row r="240">
      <c r="A240" s="67"/>
      <c r="B240" s="73"/>
      <c r="C240" s="74"/>
      <c r="D240" s="75"/>
      <c r="E240" s="76"/>
      <c r="F240" s="75"/>
      <c r="G240" s="62"/>
      <c r="H240" s="63" t="str">
        <f t="shared" si="1"/>
        <v/>
      </c>
      <c r="I240" s="55"/>
    </row>
    <row r="241">
      <c r="A241" s="67"/>
      <c r="B241" s="73"/>
      <c r="C241" s="74"/>
      <c r="D241" s="75"/>
      <c r="E241" s="76"/>
      <c r="F241" s="75"/>
      <c r="G241" s="62"/>
      <c r="H241" s="63" t="str">
        <f t="shared" si="1"/>
        <v/>
      </c>
      <c r="I241" s="55"/>
    </row>
    <row r="242">
      <c r="A242" s="67"/>
      <c r="B242" s="73"/>
      <c r="C242" s="74"/>
      <c r="D242" s="75"/>
      <c r="E242" s="76"/>
      <c r="F242" s="75"/>
      <c r="G242" s="62"/>
      <c r="H242" s="63" t="str">
        <f t="shared" si="1"/>
        <v/>
      </c>
      <c r="I242" s="55"/>
    </row>
    <row r="243">
      <c r="A243" s="67"/>
      <c r="B243" s="73"/>
      <c r="C243" s="74"/>
      <c r="D243" s="75"/>
      <c r="E243" s="76"/>
      <c r="F243" s="75"/>
      <c r="G243" s="62"/>
      <c r="H243" s="63" t="str">
        <f t="shared" si="1"/>
        <v/>
      </c>
      <c r="I243" s="55"/>
    </row>
    <row r="244">
      <c r="A244" s="67"/>
      <c r="B244" s="73"/>
      <c r="C244" s="74"/>
      <c r="D244" s="75"/>
      <c r="E244" s="76"/>
      <c r="F244" s="75"/>
      <c r="G244" s="62"/>
      <c r="H244" s="63" t="str">
        <f t="shared" si="1"/>
        <v/>
      </c>
      <c r="I244" s="55"/>
    </row>
    <row r="245">
      <c r="A245" s="67"/>
      <c r="B245" s="73"/>
      <c r="C245" s="74"/>
      <c r="D245" s="75"/>
      <c r="E245" s="76"/>
      <c r="F245" s="75"/>
      <c r="G245" s="62"/>
      <c r="H245" s="63" t="str">
        <f t="shared" si="1"/>
        <v/>
      </c>
      <c r="I245" s="55"/>
    </row>
    <row r="246">
      <c r="A246" s="67"/>
      <c r="B246" s="73"/>
      <c r="C246" s="74"/>
      <c r="D246" s="75"/>
      <c r="E246" s="76"/>
      <c r="F246" s="75"/>
      <c r="G246" s="62"/>
      <c r="H246" s="63" t="str">
        <f t="shared" si="1"/>
        <v/>
      </c>
      <c r="I246" s="55"/>
    </row>
    <row r="247">
      <c r="A247" s="67"/>
      <c r="B247" s="73"/>
      <c r="C247" s="74"/>
      <c r="D247" s="75"/>
      <c r="E247" s="76"/>
      <c r="F247" s="75"/>
      <c r="G247" s="62"/>
      <c r="H247" s="63" t="str">
        <f t="shared" si="1"/>
        <v/>
      </c>
      <c r="I247" s="55"/>
    </row>
    <row r="248">
      <c r="A248" s="67"/>
      <c r="B248" s="73"/>
      <c r="C248" s="74"/>
      <c r="D248" s="75"/>
      <c r="E248" s="76"/>
      <c r="F248" s="75"/>
      <c r="G248" s="62"/>
      <c r="H248" s="63" t="str">
        <f t="shared" si="1"/>
        <v/>
      </c>
      <c r="I248" s="55"/>
    </row>
    <row r="249">
      <c r="A249" s="67"/>
      <c r="B249" s="73"/>
      <c r="C249" s="74"/>
      <c r="D249" s="75"/>
      <c r="E249" s="76"/>
      <c r="F249" s="75"/>
      <c r="G249" s="62"/>
      <c r="H249" s="63" t="str">
        <f t="shared" si="1"/>
        <v/>
      </c>
      <c r="I249" s="55"/>
    </row>
    <row r="250">
      <c r="A250" s="67"/>
      <c r="B250" s="73"/>
      <c r="C250" s="74"/>
      <c r="D250" s="75"/>
      <c r="E250" s="76"/>
      <c r="F250" s="75"/>
      <c r="G250" s="62"/>
      <c r="H250" s="63" t="str">
        <f t="shared" si="1"/>
        <v/>
      </c>
      <c r="I250" s="55"/>
    </row>
    <row r="251">
      <c r="A251" s="67"/>
      <c r="B251" s="73"/>
      <c r="C251" s="74"/>
      <c r="D251" s="75"/>
      <c r="E251" s="76"/>
      <c r="F251" s="75"/>
      <c r="G251" s="62"/>
      <c r="H251" s="63" t="str">
        <f t="shared" si="1"/>
        <v/>
      </c>
      <c r="I251" s="55"/>
    </row>
    <row r="252">
      <c r="A252" s="67"/>
      <c r="B252" s="73"/>
      <c r="C252" s="74"/>
      <c r="D252" s="75"/>
      <c r="E252" s="76"/>
      <c r="F252" s="75"/>
      <c r="G252" s="62"/>
      <c r="H252" s="63" t="str">
        <f t="shared" si="1"/>
        <v/>
      </c>
      <c r="I252" s="55"/>
    </row>
    <row r="253">
      <c r="A253" s="67"/>
      <c r="B253" s="73"/>
      <c r="C253" s="74"/>
      <c r="D253" s="75"/>
      <c r="E253" s="76"/>
      <c r="F253" s="75"/>
      <c r="G253" s="62"/>
      <c r="H253" s="63" t="str">
        <f t="shared" si="1"/>
        <v/>
      </c>
      <c r="I253" s="55"/>
    </row>
    <row r="254">
      <c r="A254" s="67"/>
      <c r="B254" s="73"/>
      <c r="C254" s="74"/>
      <c r="D254" s="75"/>
      <c r="E254" s="76"/>
      <c r="F254" s="75"/>
      <c r="G254" s="62"/>
      <c r="H254" s="63" t="str">
        <f t="shared" si="1"/>
        <v/>
      </c>
      <c r="I254" s="55"/>
    </row>
    <row r="255">
      <c r="A255" s="67"/>
      <c r="B255" s="73"/>
      <c r="C255" s="74"/>
      <c r="D255" s="75"/>
      <c r="E255" s="76"/>
      <c r="F255" s="75"/>
      <c r="G255" s="62"/>
      <c r="H255" s="63" t="str">
        <f t="shared" si="1"/>
        <v/>
      </c>
      <c r="I255" s="55"/>
    </row>
    <row r="256">
      <c r="A256" s="67"/>
      <c r="B256" s="73"/>
      <c r="C256" s="74"/>
      <c r="D256" s="75"/>
      <c r="E256" s="76"/>
      <c r="F256" s="75"/>
      <c r="G256" s="62"/>
      <c r="H256" s="63" t="str">
        <f t="shared" si="1"/>
        <v/>
      </c>
      <c r="I256" s="55"/>
    </row>
    <row r="257">
      <c r="A257" s="67"/>
      <c r="B257" s="73"/>
      <c r="C257" s="74"/>
      <c r="D257" s="75"/>
      <c r="E257" s="76"/>
      <c r="F257" s="75"/>
      <c r="G257" s="62"/>
      <c r="H257" s="63" t="str">
        <f t="shared" si="1"/>
        <v/>
      </c>
      <c r="I257" s="55"/>
    </row>
    <row r="258">
      <c r="A258" s="67"/>
      <c r="B258" s="73"/>
      <c r="C258" s="74"/>
      <c r="D258" s="75"/>
      <c r="E258" s="76"/>
      <c r="F258" s="75"/>
      <c r="G258" s="62"/>
      <c r="H258" s="63" t="str">
        <f t="shared" si="1"/>
        <v/>
      </c>
      <c r="I258" s="55"/>
    </row>
    <row r="259">
      <c r="A259" s="67"/>
      <c r="B259" s="73"/>
      <c r="C259" s="74"/>
      <c r="D259" s="75"/>
      <c r="E259" s="76"/>
      <c r="F259" s="75"/>
      <c r="G259" s="62"/>
      <c r="H259" s="63" t="str">
        <f t="shared" si="1"/>
        <v/>
      </c>
      <c r="I259" s="55"/>
    </row>
    <row r="260">
      <c r="A260" s="67"/>
      <c r="B260" s="73"/>
      <c r="C260" s="74"/>
      <c r="D260" s="75"/>
      <c r="E260" s="76"/>
      <c r="F260" s="75"/>
      <c r="G260" s="62"/>
      <c r="H260" s="63" t="str">
        <f t="shared" si="1"/>
        <v/>
      </c>
      <c r="I260" s="55"/>
    </row>
    <row r="261">
      <c r="A261" s="67"/>
      <c r="B261" s="73"/>
      <c r="C261" s="74"/>
      <c r="D261" s="75"/>
      <c r="E261" s="76"/>
      <c r="F261" s="75"/>
      <c r="G261" s="62"/>
      <c r="H261" s="63" t="str">
        <f t="shared" si="1"/>
        <v/>
      </c>
      <c r="I261" s="55"/>
    </row>
    <row r="262">
      <c r="A262" s="67"/>
      <c r="B262" s="73"/>
      <c r="C262" s="74"/>
      <c r="D262" s="75"/>
      <c r="E262" s="76"/>
      <c r="F262" s="75"/>
      <c r="G262" s="62"/>
      <c r="H262" s="63" t="str">
        <f t="shared" si="1"/>
        <v/>
      </c>
      <c r="I262" s="55"/>
    </row>
    <row r="263">
      <c r="A263" s="67"/>
      <c r="B263" s="73"/>
      <c r="C263" s="74"/>
      <c r="D263" s="75"/>
      <c r="E263" s="76"/>
      <c r="F263" s="75"/>
      <c r="G263" s="62"/>
      <c r="H263" s="63" t="str">
        <f t="shared" si="1"/>
        <v/>
      </c>
      <c r="I263" s="55"/>
    </row>
    <row r="264">
      <c r="A264" s="67"/>
      <c r="B264" s="73"/>
      <c r="C264" s="74"/>
      <c r="D264" s="75"/>
      <c r="E264" s="76"/>
      <c r="F264" s="75"/>
      <c r="G264" s="62"/>
      <c r="H264" s="63" t="str">
        <f t="shared" si="1"/>
        <v/>
      </c>
      <c r="I264" s="55"/>
    </row>
    <row r="265">
      <c r="A265" s="67"/>
      <c r="B265" s="73"/>
      <c r="C265" s="74"/>
      <c r="D265" s="75"/>
      <c r="E265" s="76"/>
      <c r="F265" s="75"/>
      <c r="G265" s="62"/>
      <c r="H265" s="63" t="str">
        <f t="shared" si="1"/>
        <v/>
      </c>
      <c r="I265" s="55"/>
    </row>
    <row r="266">
      <c r="A266" s="67"/>
      <c r="B266" s="73"/>
      <c r="C266" s="74"/>
      <c r="D266" s="75"/>
      <c r="E266" s="76"/>
      <c r="F266" s="75"/>
      <c r="G266" s="62"/>
      <c r="H266" s="63" t="str">
        <f t="shared" si="1"/>
        <v/>
      </c>
      <c r="I266" s="55"/>
    </row>
    <row r="267">
      <c r="A267" s="67"/>
      <c r="B267" s="73"/>
      <c r="C267" s="74"/>
      <c r="D267" s="75"/>
      <c r="E267" s="76"/>
      <c r="F267" s="75"/>
      <c r="G267" s="62"/>
      <c r="H267" s="63" t="str">
        <f t="shared" si="1"/>
        <v/>
      </c>
      <c r="I267" s="55"/>
    </row>
    <row r="268">
      <c r="A268" s="67"/>
      <c r="B268" s="73"/>
      <c r="C268" s="74"/>
      <c r="D268" s="75"/>
      <c r="E268" s="76"/>
      <c r="F268" s="75"/>
      <c r="G268" s="62"/>
      <c r="H268" s="63" t="str">
        <f t="shared" si="1"/>
        <v/>
      </c>
      <c r="I268" s="55"/>
    </row>
    <row r="269">
      <c r="A269" s="67"/>
      <c r="B269" s="73"/>
      <c r="C269" s="74"/>
      <c r="D269" s="75"/>
      <c r="E269" s="76"/>
      <c r="F269" s="75"/>
      <c r="G269" s="62"/>
      <c r="H269" s="63" t="str">
        <f t="shared" si="1"/>
        <v/>
      </c>
      <c r="I269" s="55"/>
    </row>
    <row r="270">
      <c r="A270" s="67"/>
      <c r="B270" s="73"/>
      <c r="C270" s="74"/>
      <c r="D270" s="75"/>
      <c r="E270" s="76"/>
      <c r="F270" s="75"/>
      <c r="G270" s="62"/>
      <c r="H270" s="63" t="str">
        <f t="shared" si="1"/>
        <v/>
      </c>
      <c r="I270" s="55"/>
    </row>
    <row r="271">
      <c r="A271" s="67"/>
      <c r="B271" s="73"/>
      <c r="C271" s="74"/>
      <c r="D271" s="75"/>
      <c r="E271" s="76"/>
      <c r="F271" s="75"/>
      <c r="G271" s="62"/>
      <c r="H271" s="63" t="str">
        <f t="shared" si="1"/>
        <v/>
      </c>
      <c r="I271" s="55"/>
    </row>
    <row r="272">
      <c r="A272" s="67"/>
      <c r="B272" s="73"/>
      <c r="C272" s="74"/>
      <c r="D272" s="75"/>
      <c r="E272" s="76"/>
      <c r="F272" s="75"/>
      <c r="G272" s="62"/>
      <c r="H272" s="63" t="str">
        <f t="shared" si="1"/>
        <v/>
      </c>
      <c r="I272" s="55"/>
    </row>
    <row r="273">
      <c r="A273" s="67"/>
      <c r="B273" s="73"/>
      <c r="C273" s="74"/>
      <c r="D273" s="75"/>
      <c r="E273" s="76"/>
      <c r="F273" s="75"/>
      <c r="G273" s="62"/>
      <c r="H273" s="63" t="str">
        <f t="shared" si="1"/>
        <v/>
      </c>
      <c r="I273" s="55"/>
    </row>
    <row r="274">
      <c r="A274" s="67"/>
      <c r="B274" s="73"/>
      <c r="C274" s="74"/>
      <c r="D274" s="75"/>
      <c r="E274" s="76"/>
      <c r="F274" s="75"/>
      <c r="G274" s="62"/>
      <c r="H274" s="63" t="str">
        <f t="shared" si="1"/>
        <v/>
      </c>
      <c r="I274" s="55"/>
    </row>
    <row r="275">
      <c r="A275" s="67"/>
      <c r="B275" s="73"/>
      <c r="C275" s="74"/>
      <c r="D275" s="75"/>
      <c r="E275" s="76"/>
      <c r="F275" s="75"/>
      <c r="G275" s="62"/>
      <c r="H275" s="63" t="str">
        <f t="shared" si="1"/>
        <v/>
      </c>
      <c r="I275" s="55"/>
    </row>
    <row r="276">
      <c r="A276" s="67"/>
      <c r="B276" s="73"/>
      <c r="C276" s="74"/>
      <c r="D276" s="75"/>
      <c r="E276" s="76"/>
      <c r="F276" s="75"/>
      <c r="G276" s="62"/>
      <c r="H276" s="63" t="str">
        <f t="shared" si="1"/>
        <v/>
      </c>
      <c r="I276" s="55"/>
    </row>
    <row r="277">
      <c r="A277" s="67"/>
      <c r="B277" s="73"/>
      <c r="C277" s="74"/>
      <c r="D277" s="75"/>
      <c r="E277" s="76"/>
      <c r="F277" s="75"/>
      <c r="G277" s="62"/>
      <c r="H277" s="63" t="str">
        <f t="shared" si="1"/>
        <v/>
      </c>
      <c r="I277" s="55"/>
    </row>
    <row r="278">
      <c r="A278" s="67"/>
      <c r="B278" s="73"/>
      <c r="C278" s="74"/>
      <c r="D278" s="75"/>
      <c r="E278" s="76"/>
      <c r="F278" s="75"/>
      <c r="G278" s="62"/>
      <c r="H278" s="63" t="str">
        <f t="shared" si="1"/>
        <v/>
      </c>
      <c r="I278" s="55"/>
    </row>
    <row r="279">
      <c r="A279" s="67"/>
      <c r="B279" s="73"/>
      <c r="C279" s="74"/>
      <c r="D279" s="75"/>
      <c r="E279" s="76"/>
      <c r="F279" s="75"/>
      <c r="G279" s="62"/>
      <c r="H279" s="63" t="str">
        <f t="shared" si="1"/>
        <v/>
      </c>
      <c r="I279" s="55"/>
    </row>
    <row r="280">
      <c r="A280" s="67"/>
      <c r="B280" s="73"/>
      <c r="C280" s="74"/>
      <c r="D280" s="75"/>
      <c r="E280" s="76"/>
      <c r="F280" s="75"/>
      <c r="G280" s="62"/>
      <c r="H280" s="63" t="str">
        <f t="shared" si="1"/>
        <v/>
      </c>
      <c r="I280" s="55"/>
    </row>
    <row r="281">
      <c r="A281" s="67"/>
      <c r="B281" s="73"/>
      <c r="C281" s="74"/>
      <c r="D281" s="75"/>
      <c r="E281" s="76"/>
      <c r="F281" s="75"/>
      <c r="G281" s="62"/>
      <c r="H281" s="63" t="str">
        <f t="shared" si="1"/>
        <v/>
      </c>
      <c r="I281" s="55"/>
    </row>
    <row r="282">
      <c r="A282" s="67"/>
      <c r="B282" s="73"/>
      <c r="C282" s="74"/>
      <c r="D282" s="75"/>
      <c r="E282" s="76"/>
      <c r="F282" s="75"/>
      <c r="G282" s="62"/>
      <c r="H282" s="63" t="str">
        <f t="shared" si="1"/>
        <v/>
      </c>
      <c r="I282" s="55"/>
    </row>
    <row r="283">
      <c r="A283" s="67"/>
      <c r="B283" s="73"/>
      <c r="C283" s="74"/>
      <c r="D283" s="75"/>
      <c r="E283" s="76"/>
      <c r="F283" s="75"/>
      <c r="G283" s="62"/>
      <c r="H283" s="63" t="str">
        <f t="shared" si="1"/>
        <v/>
      </c>
      <c r="I283" s="55"/>
    </row>
    <row r="284">
      <c r="A284" s="67"/>
      <c r="B284" s="73"/>
      <c r="C284" s="74"/>
      <c r="D284" s="75"/>
      <c r="E284" s="76"/>
      <c r="F284" s="75"/>
      <c r="G284" s="62"/>
      <c r="H284" s="63" t="str">
        <f t="shared" si="1"/>
        <v/>
      </c>
      <c r="I284" s="55"/>
    </row>
    <row r="285">
      <c r="A285" s="67"/>
      <c r="B285" s="73"/>
      <c r="C285" s="74"/>
      <c r="D285" s="75"/>
      <c r="E285" s="76"/>
      <c r="F285" s="75"/>
      <c r="G285" s="62"/>
      <c r="H285" s="63" t="str">
        <f t="shared" si="1"/>
        <v/>
      </c>
      <c r="I285" s="55"/>
    </row>
    <row r="286">
      <c r="A286" s="67"/>
      <c r="B286" s="73"/>
      <c r="C286" s="74"/>
      <c r="D286" s="75"/>
      <c r="E286" s="76"/>
      <c r="F286" s="75"/>
      <c r="G286" s="62"/>
      <c r="H286" s="63" t="str">
        <f t="shared" si="1"/>
        <v/>
      </c>
      <c r="I286" s="55"/>
    </row>
    <row r="287">
      <c r="A287" s="67"/>
      <c r="B287" s="73"/>
      <c r="C287" s="74"/>
      <c r="D287" s="75"/>
      <c r="E287" s="76"/>
      <c r="F287" s="75"/>
      <c r="G287" s="62"/>
      <c r="H287" s="63" t="str">
        <f t="shared" si="1"/>
        <v/>
      </c>
      <c r="I287" s="55"/>
    </row>
    <row r="288">
      <c r="A288" s="67"/>
      <c r="B288" s="73"/>
      <c r="C288" s="74"/>
      <c r="D288" s="75"/>
      <c r="E288" s="76"/>
      <c r="F288" s="75"/>
      <c r="G288" s="62"/>
      <c r="H288" s="63" t="str">
        <f t="shared" si="1"/>
        <v/>
      </c>
      <c r="I288" s="55"/>
    </row>
    <row r="289">
      <c r="A289" s="67"/>
      <c r="B289" s="73"/>
      <c r="C289" s="74"/>
      <c r="D289" s="75"/>
      <c r="E289" s="76"/>
      <c r="F289" s="75"/>
      <c r="G289" s="62"/>
      <c r="H289" s="63" t="str">
        <f t="shared" si="1"/>
        <v/>
      </c>
      <c r="I289" s="55"/>
    </row>
    <row r="290">
      <c r="A290" s="67"/>
      <c r="B290" s="73"/>
      <c r="C290" s="74"/>
      <c r="D290" s="75"/>
      <c r="E290" s="76"/>
      <c r="F290" s="75"/>
      <c r="G290" s="62"/>
      <c r="H290" s="63" t="str">
        <f t="shared" si="1"/>
        <v/>
      </c>
      <c r="I290" s="55"/>
    </row>
    <row r="291">
      <c r="A291" s="67"/>
      <c r="B291" s="73"/>
      <c r="C291" s="74"/>
      <c r="D291" s="75"/>
      <c r="E291" s="76"/>
      <c r="F291" s="75"/>
      <c r="G291" s="62"/>
      <c r="H291" s="63" t="str">
        <f t="shared" si="1"/>
        <v/>
      </c>
      <c r="I291" s="55"/>
    </row>
    <row r="292">
      <c r="A292" s="67"/>
      <c r="B292" s="73"/>
      <c r="C292" s="74"/>
      <c r="D292" s="75"/>
      <c r="E292" s="76"/>
      <c r="F292" s="75"/>
      <c r="G292" s="62"/>
      <c r="H292" s="63" t="str">
        <f t="shared" si="1"/>
        <v/>
      </c>
      <c r="I292" s="55"/>
    </row>
    <row r="293">
      <c r="A293" s="67"/>
      <c r="B293" s="73"/>
      <c r="C293" s="74"/>
      <c r="D293" s="75"/>
      <c r="E293" s="76"/>
      <c r="F293" s="75"/>
      <c r="G293" s="62"/>
      <c r="H293" s="63" t="str">
        <f t="shared" si="1"/>
        <v/>
      </c>
      <c r="I293" s="55"/>
    </row>
    <row r="294">
      <c r="A294" s="67"/>
      <c r="B294" s="73"/>
      <c r="C294" s="74"/>
      <c r="D294" s="75"/>
      <c r="E294" s="76"/>
      <c r="F294" s="75"/>
      <c r="G294" s="62"/>
      <c r="H294" s="63" t="str">
        <f t="shared" si="1"/>
        <v/>
      </c>
      <c r="I294" s="55"/>
    </row>
    <row r="295">
      <c r="A295" s="67"/>
      <c r="B295" s="73"/>
      <c r="C295" s="74"/>
      <c r="D295" s="75"/>
      <c r="E295" s="76"/>
      <c r="F295" s="75"/>
      <c r="G295" s="62"/>
      <c r="H295" s="63" t="str">
        <f t="shared" si="1"/>
        <v/>
      </c>
      <c r="I295" s="55"/>
    </row>
    <row r="296">
      <c r="A296" s="67"/>
      <c r="B296" s="73"/>
      <c r="C296" s="74"/>
      <c r="D296" s="75"/>
      <c r="E296" s="76"/>
      <c r="F296" s="75"/>
      <c r="G296" s="62"/>
      <c r="H296" s="63" t="str">
        <f t="shared" si="1"/>
        <v/>
      </c>
      <c r="I296" s="55"/>
    </row>
    <row r="297">
      <c r="A297" s="67"/>
      <c r="B297" s="73"/>
      <c r="C297" s="74"/>
      <c r="D297" s="75"/>
      <c r="E297" s="76"/>
      <c r="F297" s="75"/>
      <c r="G297" s="62"/>
      <c r="H297" s="63" t="str">
        <f t="shared" si="1"/>
        <v/>
      </c>
      <c r="I297" s="55"/>
    </row>
    <row r="298">
      <c r="A298" s="67"/>
      <c r="B298" s="73"/>
      <c r="C298" s="74"/>
      <c r="D298" s="75"/>
      <c r="E298" s="76"/>
      <c r="F298" s="75"/>
      <c r="G298" s="62"/>
      <c r="H298" s="63" t="str">
        <f t="shared" si="1"/>
        <v/>
      </c>
      <c r="I298" s="55"/>
    </row>
    <row r="299">
      <c r="A299" s="67"/>
      <c r="B299" s="73"/>
      <c r="C299" s="74"/>
      <c r="D299" s="75"/>
      <c r="E299" s="76"/>
      <c r="F299" s="75"/>
      <c r="G299" s="62"/>
      <c r="H299" s="63" t="str">
        <f t="shared" si="1"/>
        <v/>
      </c>
      <c r="I299" s="55"/>
    </row>
    <row r="300">
      <c r="A300" s="67"/>
      <c r="B300" s="73"/>
      <c r="C300" s="74"/>
      <c r="D300" s="75"/>
      <c r="E300" s="76"/>
      <c r="F300" s="75"/>
      <c r="G300" s="62"/>
      <c r="H300" s="63" t="str">
        <f t="shared" si="1"/>
        <v/>
      </c>
      <c r="I300" s="55"/>
    </row>
    <row r="301">
      <c r="A301" s="67"/>
      <c r="B301" s="73"/>
      <c r="C301" s="74"/>
      <c r="D301" s="75"/>
      <c r="E301" s="76"/>
      <c r="F301" s="75"/>
      <c r="G301" s="62"/>
      <c r="H301" s="63" t="str">
        <f t="shared" si="1"/>
        <v/>
      </c>
      <c r="I301" s="55"/>
    </row>
    <row r="302">
      <c r="A302" s="67"/>
      <c r="B302" s="73"/>
      <c r="C302" s="74"/>
      <c r="D302" s="75"/>
      <c r="E302" s="76"/>
      <c r="F302" s="75"/>
      <c r="G302" s="62"/>
      <c r="H302" s="63" t="str">
        <f t="shared" si="1"/>
        <v/>
      </c>
      <c r="I302" s="55"/>
    </row>
    <row r="303">
      <c r="A303" s="67"/>
      <c r="B303" s="73"/>
      <c r="C303" s="74"/>
      <c r="D303" s="75"/>
      <c r="E303" s="76"/>
      <c r="F303" s="75"/>
      <c r="G303" s="62"/>
      <c r="H303" s="63" t="str">
        <f t="shared" si="1"/>
        <v/>
      </c>
      <c r="I303" s="55"/>
    </row>
    <row r="304">
      <c r="A304" s="67"/>
      <c r="B304" s="73"/>
      <c r="C304" s="74"/>
      <c r="D304" s="75"/>
      <c r="E304" s="76"/>
      <c r="F304" s="75"/>
      <c r="G304" s="62"/>
      <c r="H304" s="63" t="str">
        <f t="shared" si="1"/>
        <v/>
      </c>
      <c r="I304" s="55"/>
    </row>
    <row r="305">
      <c r="A305" s="67"/>
      <c r="B305" s="73"/>
      <c r="C305" s="74"/>
      <c r="D305" s="75"/>
      <c r="E305" s="76"/>
      <c r="F305" s="75"/>
      <c r="G305" s="62"/>
      <c r="H305" s="63" t="str">
        <f t="shared" si="1"/>
        <v/>
      </c>
      <c r="I305" s="55"/>
    </row>
    <row r="306">
      <c r="A306" s="67"/>
      <c r="B306" s="73"/>
      <c r="C306" s="74"/>
      <c r="D306" s="75"/>
      <c r="E306" s="76"/>
      <c r="F306" s="75"/>
      <c r="G306" s="62"/>
      <c r="H306" s="63" t="str">
        <f t="shared" si="1"/>
        <v/>
      </c>
      <c r="I306" s="55"/>
    </row>
    <row r="307">
      <c r="A307" s="67"/>
      <c r="B307" s="73"/>
      <c r="C307" s="74"/>
      <c r="D307" s="75"/>
      <c r="E307" s="76"/>
      <c r="F307" s="75"/>
      <c r="G307" s="62"/>
      <c r="H307" s="63" t="str">
        <f t="shared" si="1"/>
        <v/>
      </c>
      <c r="I307" s="55"/>
    </row>
    <row r="308">
      <c r="A308" s="67"/>
      <c r="B308" s="73"/>
      <c r="C308" s="74"/>
      <c r="D308" s="75"/>
      <c r="E308" s="76"/>
      <c r="F308" s="75"/>
      <c r="G308" s="62"/>
      <c r="H308" s="63" t="str">
        <f t="shared" si="1"/>
        <v/>
      </c>
      <c r="I308" s="55"/>
    </row>
    <row r="309">
      <c r="A309" s="67"/>
      <c r="B309" s="73"/>
      <c r="C309" s="74"/>
      <c r="D309" s="75"/>
      <c r="E309" s="76"/>
      <c r="F309" s="75"/>
      <c r="G309" s="62"/>
      <c r="H309" s="63" t="str">
        <f t="shared" si="1"/>
        <v/>
      </c>
      <c r="I309" s="55"/>
    </row>
    <row r="310">
      <c r="A310" s="67"/>
      <c r="B310" s="73"/>
      <c r="C310" s="74"/>
      <c r="D310" s="75"/>
      <c r="E310" s="76"/>
      <c r="F310" s="75"/>
      <c r="G310" s="62"/>
      <c r="H310" s="63" t="str">
        <f t="shared" si="1"/>
        <v/>
      </c>
      <c r="I310" s="55"/>
    </row>
    <row r="311">
      <c r="A311" s="67"/>
      <c r="B311" s="73"/>
      <c r="C311" s="74"/>
      <c r="D311" s="75"/>
      <c r="E311" s="76"/>
      <c r="F311" s="75"/>
      <c r="G311" s="62"/>
      <c r="H311" s="63" t="str">
        <f t="shared" si="1"/>
        <v/>
      </c>
      <c r="I311" s="55"/>
    </row>
    <row r="312">
      <c r="A312" s="67"/>
      <c r="B312" s="73"/>
      <c r="C312" s="74"/>
      <c r="D312" s="75"/>
      <c r="E312" s="76"/>
      <c r="F312" s="75"/>
      <c r="G312" s="62"/>
      <c r="H312" s="63" t="str">
        <f t="shared" si="1"/>
        <v/>
      </c>
      <c r="I312" s="55"/>
    </row>
    <row r="313">
      <c r="A313" s="67"/>
      <c r="B313" s="73"/>
      <c r="C313" s="74"/>
      <c r="D313" s="75"/>
      <c r="E313" s="76"/>
      <c r="F313" s="75"/>
      <c r="G313" s="62"/>
      <c r="H313" s="63" t="str">
        <f t="shared" si="1"/>
        <v/>
      </c>
      <c r="I313" s="55"/>
    </row>
    <row r="314">
      <c r="A314" s="67"/>
      <c r="B314" s="73"/>
      <c r="C314" s="74"/>
      <c r="D314" s="75"/>
      <c r="E314" s="76"/>
      <c r="F314" s="75"/>
      <c r="G314" s="62"/>
      <c r="H314" s="63" t="str">
        <f t="shared" si="1"/>
        <v/>
      </c>
      <c r="I314" s="55"/>
    </row>
    <row r="315">
      <c r="A315" s="67"/>
      <c r="B315" s="73"/>
      <c r="C315" s="74"/>
      <c r="D315" s="75"/>
      <c r="E315" s="76"/>
      <c r="F315" s="75"/>
      <c r="G315" s="62"/>
      <c r="H315" s="63" t="str">
        <f t="shared" si="1"/>
        <v/>
      </c>
      <c r="I315" s="55"/>
    </row>
    <row r="316">
      <c r="A316" s="67"/>
      <c r="B316" s="73"/>
      <c r="C316" s="74"/>
      <c r="D316" s="75"/>
      <c r="E316" s="76"/>
      <c r="F316" s="75"/>
      <c r="G316" s="62"/>
      <c r="H316" s="63" t="str">
        <f t="shared" si="1"/>
        <v/>
      </c>
      <c r="I316" s="55"/>
    </row>
    <row r="317">
      <c r="A317" s="67"/>
      <c r="B317" s="73"/>
      <c r="C317" s="74"/>
      <c r="D317" s="75"/>
      <c r="E317" s="76"/>
      <c r="F317" s="75"/>
      <c r="G317" s="62"/>
      <c r="H317" s="63" t="str">
        <f t="shared" si="1"/>
        <v/>
      </c>
      <c r="I317" s="55"/>
    </row>
    <row r="318">
      <c r="A318" s="67"/>
      <c r="B318" s="73"/>
      <c r="C318" s="74"/>
      <c r="D318" s="75"/>
      <c r="E318" s="76"/>
      <c r="F318" s="75"/>
      <c r="G318" s="62"/>
      <c r="H318" s="63" t="str">
        <f t="shared" si="1"/>
        <v/>
      </c>
      <c r="I318" s="55"/>
    </row>
    <row r="319">
      <c r="A319" s="67"/>
      <c r="B319" s="73"/>
      <c r="C319" s="74"/>
      <c r="D319" s="75"/>
      <c r="E319" s="76"/>
      <c r="F319" s="75"/>
      <c r="G319" s="62"/>
      <c r="H319" s="63" t="str">
        <f t="shared" si="1"/>
        <v/>
      </c>
      <c r="I319" s="55"/>
    </row>
    <row r="320">
      <c r="A320" s="67"/>
      <c r="B320" s="73"/>
      <c r="C320" s="74"/>
      <c r="D320" s="75"/>
      <c r="E320" s="76"/>
      <c r="F320" s="75"/>
      <c r="G320" s="62"/>
      <c r="H320" s="63" t="str">
        <f t="shared" si="1"/>
        <v/>
      </c>
      <c r="I320" s="55"/>
    </row>
    <row r="321">
      <c r="A321" s="67"/>
      <c r="B321" s="73"/>
      <c r="C321" s="74"/>
      <c r="D321" s="75"/>
      <c r="E321" s="76"/>
      <c r="F321" s="75"/>
      <c r="G321" s="62"/>
      <c r="H321" s="63" t="str">
        <f t="shared" si="1"/>
        <v/>
      </c>
      <c r="I321" s="55"/>
    </row>
    <row r="322">
      <c r="A322" s="67"/>
      <c r="B322" s="73"/>
      <c r="C322" s="74"/>
      <c r="D322" s="75"/>
      <c r="E322" s="76"/>
      <c r="F322" s="75"/>
      <c r="G322" s="62"/>
      <c r="H322" s="63" t="str">
        <f t="shared" si="1"/>
        <v/>
      </c>
      <c r="I322" s="55"/>
    </row>
    <row r="323">
      <c r="A323" s="67"/>
      <c r="B323" s="73"/>
      <c r="C323" s="74"/>
      <c r="D323" s="75"/>
      <c r="E323" s="76"/>
      <c r="F323" s="75"/>
      <c r="G323" s="62"/>
      <c r="H323" s="63" t="str">
        <f t="shared" si="1"/>
        <v/>
      </c>
      <c r="I323" s="55"/>
    </row>
    <row r="324">
      <c r="A324" s="67"/>
      <c r="B324" s="73"/>
      <c r="C324" s="74"/>
      <c r="D324" s="75"/>
      <c r="E324" s="76"/>
      <c r="F324" s="75"/>
      <c r="G324" s="62"/>
      <c r="H324" s="63" t="str">
        <f t="shared" si="1"/>
        <v/>
      </c>
      <c r="I324" s="55"/>
    </row>
    <row r="325">
      <c r="A325" s="67"/>
      <c r="B325" s="73"/>
      <c r="C325" s="74"/>
      <c r="D325" s="75"/>
      <c r="E325" s="76"/>
      <c r="F325" s="75"/>
      <c r="G325" s="62"/>
      <c r="H325" s="63" t="str">
        <f t="shared" si="1"/>
        <v/>
      </c>
      <c r="I325" s="55"/>
    </row>
    <row r="326">
      <c r="A326" s="67"/>
      <c r="B326" s="73"/>
      <c r="C326" s="74"/>
      <c r="D326" s="75"/>
      <c r="E326" s="76"/>
      <c r="F326" s="75"/>
      <c r="G326" s="62"/>
      <c r="H326" s="63" t="str">
        <f t="shared" si="1"/>
        <v/>
      </c>
      <c r="I326" s="55"/>
    </row>
    <row r="327">
      <c r="A327" s="67"/>
      <c r="B327" s="73"/>
      <c r="C327" s="74"/>
      <c r="D327" s="75"/>
      <c r="E327" s="76"/>
      <c r="F327" s="75"/>
      <c r="G327" s="62"/>
      <c r="H327" s="63" t="str">
        <f t="shared" si="1"/>
        <v/>
      </c>
      <c r="I327" s="55"/>
    </row>
    <row r="328">
      <c r="A328" s="67"/>
      <c r="B328" s="73"/>
      <c r="C328" s="74"/>
      <c r="D328" s="75"/>
      <c r="E328" s="76"/>
      <c r="F328" s="75"/>
      <c r="G328" s="62"/>
      <c r="H328" s="63" t="str">
        <f t="shared" si="1"/>
        <v/>
      </c>
      <c r="I328" s="55"/>
    </row>
    <row r="329">
      <c r="A329" s="67"/>
      <c r="B329" s="73"/>
      <c r="C329" s="74"/>
      <c r="D329" s="75"/>
      <c r="E329" s="76"/>
      <c r="F329" s="75"/>
      <c r="G329" s="62"/>
      <c r="H329" s="63" t="str">
        <f t="shared" si="1"/>
        <v/>
      </c>
      <c r="I329" s="55"/>
    </row>
    <row r="330">
      <c r="A330" s="67"/>
      <c r="B330" s="73"/>
      <c r="C330" s="74"/>
      <c r="D330" s="75"/>
      <c r="E330" s="76"/>
      <c r="F330" s="75"/>
      <c r="G330" s="62"/>
      <c r="H330" s="63" t="str">
        <f t="shared" si="1"/>
        <v/>
      </c>
      <c r="I330" s="55"/>
    </row>
    <row r="331">
      <c r="A331" s="67"/>
      <c r="B331" s="73"/>
      <c r="C331" s="74"/>
      <c r="D331" s="75"/>
      <c r="E331" s="76"/>
      <c r="F331" s="75"/>
      <c r="G331" s="62"/>
      <c r="H331" s="63" t="str">
        <f t="shared" si="1"/>
        <v/>
      </c>
      <c r="I331" s="55"/>
    </row>
    <row r="332">
      <c r="A332" s="67"/>
      <c r="B332" s="73"/>
      <c r="C332" s="74"/>
      <c r="D332" s="75"/>
      <c r="E332" s="76"/>
      <c r="F332" s="75"/>
      <c r="G332" s="62"/>
      <c r="H332" s="63" t="str">
        <f t="shared" si="1"/>
        <v/>
      </c>
      <c r="I332" s="55"/>
    </row>
    <row r="333">
      <c r="A333" s="67"/>
      <c r="B333" s="73"/>
      <c r="C333" s="74"/>
      <c r="D333" s="75"/>
      <c r="E333" s="76"/>
      <c r="F333" s="75"/>
      <c r="G333" s="62"/>
      <c r="H333" s="63" t="str">
        <f t="shared" si="1"/>
        <v/>
      </c>
      <c r="I333" s="55"/>
    </row>
    <row r="334">
      <c r="A334" s="67"/>
      <c r="B334" s="73"/>
      <c r="C334" s="74"/>
      <c r="D334" s="75"/>
      <c r="E334" s="76"/>
      <c r="F334" s="75"/>
      <c r="G334" s="62"/>
      <c r="H334" s="63" t="str">
        <f t="shared" si="1"/>
        <v/>
      </c>
      <c r="I334" s="55"/>
    </row>
    <row r="335">
      <c r="A335" s="67"/>
      <c r="B335" s="73"/>
      <c r="C335" s="74"/>
      <c r="D335" s="75"/>
      <c r="E335" s="76"/>
      <c r="F335" s="75"/>
      <c r="G335" s="62"/>
      <c r="H335" s="63" t="str">
        <f t="shared" si="1"/>
        <v/>
      </c>
      <c r="I335" s="55"/>
    </row>
    <row r="336">
      <c r="A336" s="67"/>
      <c r="B336" s="73"/>
      <c r="C336" s="74"/>
      <c r="D336" s="75"/>
      <c r="E336" s="76"/>
      <c r="F336" s="75"/>
      <c r="G336" s="62"/>
      <c r="H336" s="63" t="str">
        <f t="shared" si="1"/>
        <v/>
      </c>
      <c r="I336" s="55"/>
    </row>
    <row r="337">
      <c r="A337" s="67"/>
      <c r="B337" s="73"/>
      <c r="C337" s="74"/>
      <c r="D337" s="75"/>
      <c r="E337" s="76"/>
      <c r="F337" s="75"/>
      <c r="G337" s="62"/>
      <c r="H337" s="63" t="str">
        <f t="shared" si="1"/>
        <v/>
      </c>
      <c r="I337" s="55"/>
    </row>
    <row r="338">
      <c r="A338" s="67"/>
      <c r="B338" s="73"/>
      <c r="C338" s="74"/>
      <c r="D338" s="75"/>
      <c r="E338" s="76"/>
      <c r="F338" s="75"/>
      <c r="G338" s="62"/>
      <c r="H338" s="63" t="str">
        <f t="shared" si="1"/>
        <v/>
      </c>
      <c r="I338" s="55"/>
    </row>
    <row r="339">
      <c r="A339" s="67"/>
      <c r="B339" s="73"/>
      <c r="C339" s="74"/>
      <c r="D339" s="75"/>
      <c r="E339" s="76"/>
      <c r="F339" s="75"/>
      <c r="G339" s="62"/>
      <c r="H339" s="63" t="str">
        <f t="shared" si="1"/>
        <v/>
      </c>
      <c r="I339" s="55"/>
    </row>
    <row r="340">
      <c r="A340" s="67"/>
      <c r="B340" s="73"/>
      <c r="C340" s="74"/>
      <c r="D340" s="75"/>
      <c r="E340" s="76"/>
      <c r="F340" s="75"/>
      <c r="G340" s="62"/>
      <c r="H340" s="63" t="str">
        <f t="shared" si="1"/>
        <v/>
      </c>
      <c r="I340" s="55"/>
    </row>
    <row r="341">
      <c r="A341" s="67"/>
      <c r="B341" s="73"/>
      <c r="C341" s="74"/>
      <c r="D341" s="75"/>
      <c r="E341" s="76"/>
      <c r="F341" s="75"/>
      <c r="G341" s="62"/>
      <c r="H341" s="63" t="str">
        <f t="shared" si="1"/>
        <v/>
      </c>
      <c r="I341" s="55"/>
    </row>
    <row r="342">
      <c r="A342" s="67"/>
      <c r="B342" s="73"/>
      <c r="C342" s="74"/>
      <c r="D342" s="75"/>
      <c r="E342" s="76"/>
      <c r="F342" s="75"/>
      <c r="G342" s="62"/>
      <c r="H342" s="63" t="str">
        <f t="shared" si="1"/>
        <v/>
      </c>
      <c r="I342" s="55"/>
    </row>
    <row r="343">
      <c r="A343" s="67"/>
      <c r="B343" s="73"/>
      <c r="C343" s="74"/>
      <c r="D343" s="75"/>
      <c r="E343" s="76"/>
      <c r="F343" s="75"/>
      <c r="G343" s="62"/>
      <c r="H343" s="63" t="str">
        <f t="shared" si="1"/>
        <v/>
      </c>
      <c r="I343" s="55"/>
    </row>
    <row r="344">
      <c r="A344" s="67"/>
      <c r="B344" s="73"/>
      <c r="C344" s="74"/>
      <c r="D344" s="75"/>
      <c r="E344" s="76"/>
      <c r="F344" s="75"/>
      <c r="G344" s="62"/>
      <c r="H344" s="63" t="str">
        <f t="shared" si="1"/>
        <v/>
      </c>
      <c r="I344" s="55"/>
    </row>
    <row r="345">
      <c r="A345" s="67"/>
      <c r="B345" s="73"/>
      <c r="C345" s="74"/>
      <c r="D345" s="75"/>
      <c r="E345" s="76"/>
      <c r="F345" s="75"/>
      <c r="G345" s="62"/>
      <c r="H345" s="63" t="str">
        <f t="shared" si="1"/>
        <v/>
      </c>
      <c r="I345" s="55"/>
    </row>
    <row r="346">
      <c r="A346" s="67"/>
      <c r="B346" s="73"/>
      <c r="C346" s="74"/>
      <c r="D346" s="75"/>
      <c r="E346" s="76"/>
      <c r="F346" s="75"/>
      <c r="G346" s="62"/>
      <c r="H346" s="63" t="str">
        <f t="shared" si="1"/>
        <v/>
      </c>
      <c r="I346" s="55"/>
    </row>
    <row r="347">
      <c r="A347" s="67"/>
      <c r="B347" s="73"/>
      <c r="C347" s="74"/>
      <c r="D347" s="75"/>
      <c r="E347" s="76"/>
      <c r="F347" s="75"/>
      <c r="G347" s="62"/>
      <c r="H347" s="63" t="str">
        <f t="shared" si="1"/>
        <v/>
      </c>
      <c r="I347" s="55"/>
    </row>
    <row r="348">
      <c r="A348" s="67"/>
      <c r="B348" s="73"/>
      <c r="C348" s="74"/>
      <c r="D348" s="75"/>
      <c r="E348" s="76"/>
      <c r="F348" s="75"/>
      <c r="G348" s="62"/>
      <c r="H348" s="63" t="str">
        <f t="shared" si="1"/>
        <v/>
      </c>
      <c r="I348" s="55"/>
    </row>
    <row r="349">
      <c r="A349" s="67"/>
      <c r="B349" s="73"/>
      <c r="C349" s="74"/>
      <c r="D349" s="75"/>
      <c r="E349" s="76"/>
      <c r="F349" s="75"/>
      <c r="G349" s="62"/>
      <c r="H349" s="63" t="str">
        <f t="shared" si="1"/>
        <v/>
      </c>
      <c r="I349" s="55"/>
    </row>
    <row r="350">
      <c r="A350" s="67"/>
      <c r="B350" s="73"/>
      <c r="C350" s="74"/>
      <c r="D350" s="75"/>
      <c r="E350" s="76"/>
      <c r="F350" s="75"/>
      <c r="G350" s="62"/>
      <c r="H350" s="63" t="str">
        <f t="shared" si="1"/>
        <v/>
      </c>
      <c r="I350" s="55"/>
    </row>
    <row r="351">
      <c r="A351" s="67"/>
      <c r="B351" s="73"/>
      <c r="C351" s="74"/>
      <c r="D351" s="75"/>
      <c r="E351" s="76"/>
      <c r="F351" s="75"/>
      <c r="G351" s="62"/>
      <c r="H351" s="63" t="str">
        <f t="shared" si="1"/>
        <v/>
      </c>
      <c r="I351" s="55"/>
    </row>
    <row r="352">
      <c r="A352" s="67"/>
      <c r="B352" s="73"/>
      <c r="C352" s="74"/>
      <c r="D352" s="75"/>
      <c r="E352" s="76"/>
      <c r="F352" s="75"/>
      <c r="G352" s="62"/>
      <c r="H352" s="63" t="str">
        <f t="shared" si="1"/>
        <v/>
      </c>
      <c r="I352" s="55"/>
    </row>
    <row r="353">
      <c r="A353" s="67"/>
      <c r="B353" s="73"/>
      <c r="C353" s="74"/>
      <c r="D353" s="75"/>
      <c r="E353" s="76"/>
      <c r="F353" s="75"/>
      <c r="G353" s="62"/>
      <c r="H353" s="63" t="str">
        <f t="shared" si="1"/>
        <v/>
      </c>
      <c r="I353" s="55"/>
    </row>
    <row r="354">
      <c r="A354" s="67"/>
      <c r="B354" s="73"/>
      <c r="C354" s="74"/>
      <c r="D354" s="75"/>
      <c r="E354" s="76"/>
      <c r="F354" s="75"/>
      <c r="G354" s="62"/>
      <c r="H354" s="63" t="str">
        <f t="shared" si="1"/>
        <v/>
      </c>
      <c r="I354" s="55"/>
    </row>
    <row r="355">
      <c r="A355" s="67"/>
      <c r="B355" s="73"/>
      <c r="C355" s="74"/>
      <c r="D355" s="75"/>
      <c r="E355" s="76"/>
      <c r="F355" s="75"/>
      <c r="G355" s="62"/>
      <c r="H355" s="63" t="str">
        <f t="shared" si="1"/>
        <v/>
      </c>
      <c r="I355" s="55"/>
    </row>
    <row r="356">
      <c r="A356" s="67"/>
      <c r="B356" s="73"/>
      <c r="C356" s="74"/>
      <c r="D356" s="75"/>
      <c r="E356" s="76"/>
      <c r="F356" s="75"/>
      <c r="G356" s="62"/>
      <c r="H356" s="63" t="str">
        <f t="shared" si="1"/>
        <v/>
      </c>
      <c r="I356" s="55"/>
    </row>
    <row r="357">
      <c r="A357" s="67"/>
      <c r="B357" s="73"/>
      <c r="C357" s="74"/>
      <c r="D357" s="75"/>
      <c r="E357" s="76"/>
      <c r="F357" s="75"/>
      <c r="G357" s="62"/>
      <c r="H357" s="63" t="str">
        <f t="shared" si="1"/>
        <v/>
      </c>
      <c r="I357" s="55"/>
    </row>
    <row r="358">
      <c r="A358" s="67"/>
      <c r="B358" s="73"/>
      <c r="C358" s="74"/>
      <c r="D358" s="75"/>
      <c r="E358" s="76"/>
      <c r="F358" s="75"/>
      <c r="G358" s="62"/>
      <c r="H358" s="63" t="str">
        <f t="shared" si="1"/>
        <v/>
      </c>
      <c r="I358" s="55"/>
    </row>
    <row r="359">
      <c r="A359" s="67"/>
      <c r="B359" s="73"/>
      <c r="C359" s="74"/>
      <c r="D359" s="75"/>
      <c r="E359" s="76"/>
      <c r="F359" s="75"/>
      <c r="G359" s="62"/>
      <c r="H359" s="63" t="str">
        <f t="shared" si="1"/>
        <v/>
      </c>
      <c r="I359" s="55"/>
    </row>
    <row r="360">
      <c r="A360" s="67"/>
      <c r="B360" s="73"/>
      <c r="C360" s="74"/>
      <c r="D360" s="75"/>
      <c r="E360" s="76"/>
      <c r="F360" s="75"/>
      <c r="G360" s="62"/>
      <c r="H360" s="63" t="str">
        <f t="shared" si="1"/>
        <v/>
      </c>
      <c r="I360" s="55"/>
    </row>
    <row r="361">
      <c r="A361" s="67"/>
      <c r="B361" s="73"/>
      <c r="C361" s="74"/>
      <c r="D361" s="75"/>
      <c r="E361" s="76"/>
      <c r="F361" s="75"/>
      <c r="G361" s="62"/>
      <c r="H361" s="63" t="str">
        <f t="shared" si="1"/>
        <v/>
      </c>
      <c r="I361" s="55"/>
    </row>
    <row r="362">
      <c r="A362" s="67"/>
      <c r="B362" s="73"/>
      <c r="C362" s="74"/>
      <c r="D362" s="75"/>
      <c r="E362" s="76"/>
      <c r="F362" s="75"/>
      <c r="G362" s="62"/>
      <c r="H362" s="63" t="str">
        <f t="shared" si="1"/>
        <v/>
      </c>
      <c r="I362" s="55"/>
    </row>
    <row r="363">
      <c r="A363" s="67"/>
      <c r="B363" s="73"/>
      <c r="C363" s="74"/>
      <c r="D363" s="75"/>
      <c r="E363" s="76"/>
      <c r="F363" s="75"/>
      <c r="G363" s="62"/>
      <c r="H363" s="63" t="str">
        <f t="shared" si="1"/>
        <v/>
      </c>
      <c r="I363" s="55"/>
    </row>
    <row r="364">
      <c r="A364" s="67"/>
      <c r="B364" s="73"/>
      <c r="C364" s="74"/>
      <c r="D364" s="75"/>
      <c r="E364" s="76"/>
      <c r="F364" s="75"/>
      <c r="G364" s="62"/>
      <c r="H364" s="63" t="str">
        <f t="shared" si="1"/>
        <v/>
      </c>
      <c r="I364" s="55"/>
    </row>
    <row r="365">
      <c r="A365" s="67"/>
      <c r="B365" s="73"/>
      <c r="C365" s="74"/>
      <c r="D365" s="75"/>
      <c r="E365" s="76"/>
      <c r="F365" s="75"/>
      <c r="G365" s="62"/>
      <c r="H365" s="63" t="str">
        <f t="shared" si="1"/>
        <v/>
      </c>
      <c r="I365" s="55"/>
    </row>
    <row r="366">
      <c r="A366" s="67"/>
      <c r="B366" s="73"/>
      <c r="C366" s="74"/>
      <c r="D366" s="75"/>
      <c r="E366" s="76"/>
      <c r="F366" s="75"/>
      <c r="G366" s="62"/>
      <c r="H366" s="63" t="str">
        <f t="shared" si="1"/>
        <v/>
      </c>
      <c r="I366" s="55"/>
    </row>
    <row r="367">
      <c r="A367" s="67"/>
      <c r="B367" s="73"/>
      <c r="C367" s="74"/>
      <c r="D367" s="75"/>
      <c r="E367" s="76"/>
      <c r="F367" s="75"/>
      <c r="G367" s="62"/>
      <c r="H367" s="63" t="str">
        <f t="shared" si="1"/>
        <v/>
      </c>
      <c r="I367" s="55"/>
    </row>
    <row r="368">
      <c r="A368" s="67"/>
      <c r="B368" s="73"/>
      <c r="C368" s="74"/>
      <c r="D368" s="75"/>
      <c r="E368" s="76"/>
      <c r="F368" s="75"/>
      <c r="G368" s="62"/>
      <c r="H368" s="63" t="str">
        <f t="shared" si="1"/>
        <v/>
      </c>
      <c r="I368" s="55"/>
    </row>
    <row r="369">
      <c r="A369" s="67"/>
      <c r="B369" s="73"/>
      <c r="C369" s="74"/>
      <c r="D369" s="75"/>
      <c r="E369" s="76"/>
      <c r="F369" s="75"/>
      <c r="G369" s="62"/>
      <c r="H369" s="63" t="str">
        <f t="shared" si="1"/>
        <v/>
      </c>
      <c r="I369" s="55"/>
    </row>
    <row r="370">
      <c r="A370" s="67"/>
      <c r="B370" s="73"/>
      <c r="C370" s="74"/>
      <c r="D370" s="75"/>
      <c r="E370" s="76"/>
      <c r="F370" s="75"/>
      <c r="G370" s="62"/>
      <c r="H370" s="63" t="str">
        <f t="shared" si="1"/>
        <v/>
      </c>
      <c r="I370" s="55"/>
    </row>
    <row r="371">
      <c r="A371" s="67"/>
      <c r="B371" s="73"/>
      <c r="C371" s="74"/>
      <c r="D371" s="75"/>
      <c r="E371" s="76"/>
      <c r="F371" s="75"/>
      <c r="G371" s="62"/>
      <c r="H371" s="63" t="str">
        <f t="shared" si="1"/>
        <v/>
      </c>
      <c r="I371" s="55"/>
    </row>
    <row r="372">
      <c r="A372" s="67"/>
      <c r="B372" s="73"/>
      <c r="C372" s="74"/>
      <c r="D372" s="75"/>
      <c r="E372" s="76"/>
      <c r="F372" s="75"/>
      <c r="G372" s="62"/>
      <c r="H372" s="63" t="str">
        <f t="shared" si="1"/>
        <v/>
      </c>
      <c r="I372" s="55"/>
    </row>
    <row r="373">
      <c r="A373" s="67"/>
      <c r="B373" s="73"/>
      <c r="C373" s="74"/>
      <c r="D373" s="75"/>
      <c r="E373" s="76"/>
      <c r="F373" s="75"/>
      <c r="G373" s="62"/>
      <c r="H373" s="63" t="str">
        <f t="shared" si="1"/>
        <v/>
      </c>
      <c r="I373" s="55"/>
    </row>
    <row r="374">
      <c r="A374" s="67"/>
      <c r="B374" s="73"/>
      <c r="C374" s="74"/>
      <c r="D374" s="75"/>
      <c r="E374" s="76"/>
      <c r="F374" s="75"/>
      <c r="G374" s="62"/>
      <c r="H374" s="63" t="str">
        <f t="shared" si="1"/>
        <v/>
      </c>
      <c r="I374" s="55"/>
    </row>
    <row r="375">
      <c r="A375" s="67"/>
      <c r="B375" s="73"/>
      <c r="C375" s="74"/>
      <c r="D375" s="75"/>
      <c r="E375" s="76"/>
      <c r="F375" s="75"/>
      <c r="G375" s="62"/>
      <c r="H375" s="63" t="str">
        <f t="shared" si="1"/>
        <v/>
      </c>
      <c r="I375" s="55"/>
    </row>
    <row r="376">
      <c r="A376" s="67"/>
      <c r="B376" s="73"/>
      <c r="C376" s="74"/>
      <c r="D376" s="75"/>
      <c r="E376" s="76"/>
      <c r="F376" s="75"/>
      <c r="G376" s="62"/>
      <c r="H376" s="63" t="str">
        <f t="shared" si="1"/>
        <v/>
      </c>
      <c r="I376" s="55"/>
    </row>
    <row r="377">
      <c r="A377" s="67"/>
      <c r="B377" s="73"/>
      <c r="C377" s="74"/>
      <c r="D377" s="75"/>
      <c r="E377" s="76"/>
      <c r="F377" s="75"/>
      <c r="G377" s="62"/>
      <c r="H377" s="63" t="str">
        <f t="shared" si="1"/>
        <v/>
      </c>
      <c r="I377" s="55"/>
    </row>
    <row r="378">
      <c r="A378" s="67"/>
      <c r="B378" s="73"/>
      <c r="C378" s="74"/>
      <c r="D378" s="75"/>
      <c r="E378" s="76"/>
      <c r="F378" s="75"/>
      <c r="G378" s="62"/>
      <c r="H378" s="63" t="str">
        <f t="shared" si="1"/>
        <v/>
      </c>
      <c r="I378" s="55"/>
    </row>
    <row r="379">
      <c r="A379" s="67"/>
      <c r="B379" s="73"/>
      <c r="C379" s="74"/>
      <c r="D379" s="75"/>
      <c r="E379" s="76"/>
      <c r="F379" s="75"/>
      <c r="G379" s="62"/>
      <c r="H379" s="63" t="str">
        <f t="shared" si="1"/>
        <v/>
      </c>
      <c r="I379" s="55"/>
    </row>
    <row r="380">
      <c r="A380" s="67"/>
      <c r="B380" s="73"/>
      <c r="C380" s="74"/>
      <c r="D380" s="75"/>
      <c r="E380" s="76"/>
      <c r="F380" s="75"/>
      <c r="G380" s="62"/>
      <c r="H380" s="63" t="str">
        <f t="shared" si="1"/>
        <v/>
      </c>
      <c r="I380" s="55"/>
    </row>
    <row r="381">
      <c r="A381" s="67"/>
      <c r="B381" s="73"/>
      <c r="C381" s="74"/>
      <c r="D381" s="75"/>
      <c r="E381" s="76"/>
      <c r="F381" s="75"/>
      <c r="G381" s="62"/>
      <c r="H381" s="63" t="str">
        <f t="shared" si="1"/>
        <v/>
      </c>
      <c r="I381" s="55"/>
    </row>
    <row r="382">
      <c r="A382" s="67"/>
      <c r="B382" s="73"/>
      <c r="C382" s="74"/>
      <c r="D382" s="75"/>
      <c r="E382" s="76"/>
      <c r="F382" s="75"/>
      <c r="G382" s="62"/>
      <c r="H382" s="63" t="str">
        <f t="shared" si="1"/>
        <v/>
      </c>
      <c r="I382" s="55"/>
    </row>
    <row r="383">
      <c r="A383" s="67"/>
      <c r="B383" s="73"/>
      <c r="C383" s="74"/>
      <c r="D383" s="75"/>
      <c r="E383" s="76"/>
      <c r="F383" s="75"/>
      <c r="G383" s="62"/>
      <c r="H383" s="63" t="str">
        <f t="shared" si="1"/>
        <v/>
      </c>
      <c r="I383" s="55"/>
    </row>
    <row r="384">
      <c r="A384" s="67"/>
      <c r="B384" s="73"/>
      <c r="C384" s="74"/>
      <c r="D384" s="75"/>
      <c r="E384" s="76"/>
      <c r="F384" s="75"/>
      <c r="G384" s="62"/>
      <c r="H384" s="63" t="str">
        <f t="shared" si="1"/>
        <v/>
      </c>
      <c r="I384" s="55"/>
    </row>
    <row r="385">
      <c r="A385" s="67"/>
      <c r="B385" s="73"/>
      <c r="C385" s="74"/>
      <c r="D385" s="75"/>
      <c r="E385" s="76"/>
      <c r="F385" s="75"/>
      <c r="G385" s="62"/>
      <c r="H385" s="63" t="str">
        <f t="shared" si="1"/>
        <v/>
      </c>
      <c r="I385" s="55"/>
    </row>
    <row r="386">
      <c r="A386" s="67"/>
      <c r="B386" s="73"/>
      <c r="C386" s="74"/>
      <c r="D386" s="75"/>
      <c r="E386" s="76"/>
      <c r="F386" s="75"/>
      <c r="G386" s="62"/>
      <c r="H386" s="63" t="str">
        <f t="shared" si="1"/>
        <v/>
      </c>
      <c r="I386" s="55"/>
    </row>
    <row r="387">
      <c r="A387" s="67"/>
      <c r="B387" s="73"/>
      <c r="C387" s="74"/>
      <c r="D387" s="75"/>
      <c r="E387" s="76"/>
      <c r="F387" s="75"/>
      <c r="G387" s="62"/>
      <c r="H387" s="63" t="str">
        <f t="shared" si="1"/>
        <v/>
      </c>
      <c r="I387" s="55"/>
    </row>
    <row r="388">
      <c r="A388" s="67"/>
      <c r="B388" s="73"/>
      <c r="C388" s="74"/>
      <c r="D388" s="75"/>
      <c r="E388" s="76"/>
      <c r="F388" s="75"/>
      <c r="G388" s="62"/>
      <c r="H388" s="63" t="str">
        <f t="shared" si="1"/>
        <v/>
      </c>
      <c r="I388" s="55"/>
    </row>
    <row r="389">
      <c r="A389" s="67"/>
      <c r="B389" s="73"/>
      <c r="C389" s="74"/>
      <c r="D389" s="75"/>
      <c r="E389" s="76"/>
      <c r="F389" s="75"/>
      <c r="G389" s="62"/>
      <c r="H389" s="63" t="str">
        <f t="shared" si="1"/>
        <v/>
      </c>
      <c r="I389" s="55"/>
    </row>
    <row r="390">
      <c r="A390" s="67"/>
      <c r="B390" s="73"/>
      <c r="C390" s="74"/>
      <c r="D390" s="75"/>
      <c r="E390" s="76"/>
      <c r="F390" s="75"/>
      <c r="G390" s="62"/>
      <c r="H390" s="63" t="str">
        <f t="shared" si="1"/>
        <v/>
      </c>
      <c r="I390" s="55"/>
    </row>
    <row r="391">
      <c r="A391" s="67"/>
      <c r="B391" s="73"/>
      <c r="C391" s="74"/>
      <c r="D391" s="75"/>
      <c r="E391" s="76"/>
      <c r="F391" s="75"/>
      <c r="G391" s="62"/>
      <c r="H391" s="63" t="str">
        <f t="shared" si="1"/>
        <v/>
      </c>
      <c r="I391" s="55"/>
    </row>
    <row r="392">
      <c r="A392" s="67"/>
      <c r="B392" s="73"/>
      <c r="C392" s="74"/>
      <c r="D392" s="75"/>
      <c r="E392" s="76"/>
      <c r="F392" s="75"/>
      <c r="G392" s="62"/>
      <c r="H392" s="63" t="str">
        <f t="shared" si="1"/>
        <v/>
      </c>
      <c r="I392" s="55"/>
    </row>
    <row r="393">
      <c r="A393" s="67"/>
      <c r="B393" s="73"/>
      <c r="C393" s="74"/>
      <c r="D393" s="75"/>
      <c r="E393" s="76"/>
      <c r="F393" s="75"/>
      <c r="G393" s="62"/>
      <c r="H393" s="63" t="str">
        <f t="shared" si="1"/>
        <v/>
      </c>
      <c r="I393" s="55"/>
    </row>
    <row r="394">
      <c r="A394" s="67"/>
      <c r="B394" s="73"/>
      <c r="C394" s="74"/>
      <c r="D394" s="75"/>
      <c r="E394" s="76"/>
      <c r="F394" s="75"/>
      <c r="G394" s="62"/>
      <c r="H394" s="63" t="str">
        <f t="shared" si="1"/>
        <v/>
      </c>
      <c r="I394" s="55"/>
    </row>
    <row r="395">
      <c r="A395" s="67"/>
      <c r="B395" s="73"/>
      <c r="C395" s="74"/>
      <c r="D395" s="75"/>
      <c r="E395" s="76"/>
      <c r="F395" s="75"/>
      <c r="G395" s="62"/>
      <c r="H395" s="63" t="str">
        <f t="shared" si="1"/>
        <v/>
      </c>
      <c r="I395" s="55"/>
    </row>
    <row r="396">
      <c r="A396" s="67"/>
      <c r="B396" s="73"/>
      <c r="C396" s="74"/>
      <c r="D396" s="75"/>
      <c r="E396" s="76"/>
      <c r="F396" s="75"/>
      <c r="G396" s="62"/>
      <c r="H396" s="63" t="str">
        <f t="shared" si="1"/>
        <v/>
      </c>
      <c r="I396" s="55"/>
    </row>
    <row r="397">
      <c r="A397" s="67"/>
      <c r="B397" s="73"/>
      <c r="C397" s="74"/>
      <c r="D397" s="75"/>
      <c r="E397" s="76"/>
      <c r="F397" s="75"/>
      <c r="G397" s="62"/>
      <c r="H397" s="63" t="str">
        <f t="shared" si="1"/>
        <v/>
      </c>
      <c r="I397" s="55"/>
    </row>
    <row r="398">
      <c r="A398" s="67"/>
      <c r="B398" s="73"/>
      <c r="C398" s="74"/>
      <c r="D398" s="75"/>
      <c r="E398" s="76"/>
      <c r="F398" s="75"/>
      <c r="G398" s="62"/>
      <c r="H398" s="63" t="str">
        <f t="shared" si="1"/>
        <v/>
      </c>
      <c r="I398" s="55"/>
    </row>
    <row r="399">
      <c r="A399" s="67"/>
      <c r="B399" s="73"/>
      <c r="C399" s="74"/>
      <c r="D399" s="75"/>
      <c r="E399" s="76"/>
      <c r="F399" s="75"/>
      <c r="G399" s="62"/>
      <c r="H399" s="63" t="str">
        <f t="shared" si="1"/>
        <v/>
      </c>
      <c r="I399" s="55"/>
    </row>
    <row r="400">
      <c r="A400" s="67"/>
      <c r="B400" s="73"/>
      <c r="C400" s="74"/>
      <c r="D400" s="75"/>
      <c r="E400" s="76"/>
      <c r="F400" s="75"/>
      <c r="G400" s="62"/>
      <c r="H400" s="63" t="str">
        <f t="shared" si="1"/>
        <v/>
      </c>
      <c r="I400" s="55"/>
    </row>
    <row r="401">
      <c r="A401" s="67"/>
      <c r="B401" s="73"/>
      <c r="C401" s="74"/>
      <c r="D401" s="75"/>
      <c r="E401" s="76"/>
      <c r="F401" s="75"/>
      <c r="G401" s="62"/>
      <c r="H401" s="63" t="str">
        <f t="shared" si="1"/>
        <v/>
      </c>
      <c r="I401" s="55"/>
    </row>
    <row r="402">
      <c r="A402" s="67"/>
      <c r="B402" s="73"/>
      <c r="C402" s="74"/>
      <c r="D402" s="75"/>
      <c r="E402" s="76"/>
      <c r="F402" s="75"/>
      <c r="G402" s="62"/>
      <c r="H402" s="63" t="str">
        <f t="shared" si="1"/>
        <v/>
      </c>
      <c r="I402" s="55"/>
    </row>
    <row r="403">
      <c r="A403" s="67"/>
      <c r="B403" s="73"/>
      <c r="C403" s="74"/>
      <c r="D403" s="75"/>
      <c r="E403" s="76"/>
      <c r="F403" s="75"/>
      <c r="G403" s="62"/>
      <c r="H403" s="63" t="str">
        <f t="shared" si="1"/>
        <v/>
      </c>
      <c r="I403" s="55"/>
    </row>
    <row r="404">
      <c r="A404" s="67"/>
      <c r="B404" s="73"/>
      <c r="C404" s="74"/>
      <c r="D404" s="75"/>
      <c r="E404" s="76"/>
      <c r="F404" s="75"/>
      <c r="G404" s="62"/>
      <c r="H404" s="63" t="str">
        <f t="shared" si="1"/>
        <v/>
      </c>
      <c r="I404" s="55"/>
    </row>
    <row r="405">
      <c r="A405" s="67"/>
      <c r="B405" s="73"/>
      <c r="C405" s="74"/>
      <c r="D405" s="75"/>
      <c r="E405" s="76"/>
      <c r="F405" s="75"/>
      <c r="G405" s="62"/>
      <c r="H405" s="63" t="str">
        <f t="shared" si="1"/>
        <v/>
      </c>
      <c r="I405" s="55"/>
    </row>
    <row r="406">
      <c r="A406" s="67"/>
      <c r="B406" s="73"/>
      <c r="C406" s="74"/>
      <c r="D406" s="75"/>
      <c r="E406" s="76"/>
      <c r="F406" s="75"/>
      <c r="G406" s="62"/>
      <c r="H406" s="63" t="str">
        <f t="shared" si="1"/>
        <v/>
      </c>
      <c r="I406" s="55"/>
    </row>
    <row r="407">
      <c r="A407" s="67"/>
      <c r="B407" s="73"/>
      <c r="C407" s="74"/>
      <c r="D407" s="75"/>
      <c r="E407" s="76"/>
      <c r="F407" s="75"/>
      <c r="G407" s="62"/>
      <c r="H407" s="63" t="str">
        <f t="shared" si="1"/>
        <v/>
      </c>
      <c r="I407" s="55"/>
    </row>
    <row r="408">
      <c r="A408" s="67"/>
      <c r="B408" s="73"/>
      <c r="C408" s="74"/>
      <c r="D408" s="75"/>
      <c r="E408" s="76"/>
      <c r="F408" s="75"/>
      <c r="G408" s="62"/>
      <c r="H408" s="63" t="str">
        <f t="shared" si="1"/>
        <v/>
      </c>
      <c r="I408" s="55"/>
    </row>
    <row r="409">
      <c r="A409" s="67"/>
      <c r="B409" s="73"/>
      <c r="C409" s="74"/>
      <c r="D409" s="75"/>
      <c r="E409" s="76"/>
      <c r="F409" s="75"/>
      <c r="G409" s="62"/>
      <c r="H409" s="63" t="str">
        <f t="shared" si="1"/>
        <v/>
      </c>
      <c r="I409" s="55"/>
    </row>
    <row r="410">
      <c r="A410" s="67"/>
      <c r="B410" s="73"/>
      <c r="C410" s="74"/>
      <c r="D410" s="75"/>
      <c r="E410" s="76"/>
      <c r="F410" s="75"/>
      <c r="G410" s="62"/>
      <c r="H410" s="63" t="str">
        <f t="shared" si="1"/>
        <v/>
      </c>
      <c r="I410" s="55"/>
    </row>
    <row r="411">
      <c r="A411" s="67"/>
      <c r="B411" s="73"/>
      <c r="C411" s="74"/>
      <c r="D411" s="75"/>
      <c r="E411" s="76"/>
      <c r="F411" s="75"/>
      <c r="G411" s="62"/>
      <c r="H411" s="63" t="str">
        <f t="shared" si="1"/>
        <v/>
      </c>
      <c r="I411" s="55"/>
    </row>
    <row r="412">
      <c r="A412" s="67"/>
      <c r="B412" s="73"/>
      <c r="C412" s="74"/>
      <c r="D412" s="75"/>
      <c r="E412" s="76"/>
      <c r="F412" s="75"/>
      <c r="G412" s="62"/>
      <c r="H412" s="63" t="str">
        <f t="shared" si="1"/>
        <v/>
      </c>
      <c r="I412" s="55"/>
    </row>
    <row r="413">
      <c r="A413" s="67"/>
      <c r="B413" s="73"/>
      <c r="C413" s="74"/>
      <c r="D413" s="75"/>
      <c r="E413" s="76"/>
      <c r="F413" s="75"/>
      <c r="G413" s="62"/>
      <c r="H413" s="63" t="str">
        <f t="shared" si="1"/>
        <v/>
      </c>
      <c r="I413" s="55"/>
    </row>
    <row r="414">
      <c r="A414" s="67"/>
      <c r="B414" s="73"/>
      <c r="C414" s="74"/>
      <c r="D414" s="75"/>
      <c r="E414" s="76"/>
      <c r="F414" s="75"/>
      <c r="G414" s="62"/>
      <c r="H414" s="63" t="str">
        <f t="shared" si="1"/>
        <v/>
      </c>
      <c r="I414" s="55"/>
    </row>
    <row r="415">
      <c r="A415" s="67"/>
      <c r="B415" s="73"/>
      <c r="C415" s="74"/>
      <c r="D415" s="75"/>
      <c r="E415" s="76"/>
      <c r="F415" s="75"/>
      <c r="G415" s="62"/>
      <c r="H415" s="63" t="str">
        <f t="shared" si="1"/>
        <v/>
      </c>
      <c r="I415" s="55"/>
    </row>
    <row r="416">
      <c r="A416" s="67"/>
      <c r="B416" s="73"/>
      <c r="C416" s="74"/>
      <c r="D416" s="75"/>
      <c r="E416" s="76"/>
      <c r="F416" s="75"/>
      <c r="G416" s="62"/>
      <c r="H416" s="63" t="str">
        <f t="shared" si="1"/>
        <v/>
      </c>
      <c r="I416" s="55"/>
    </row>
    <row r="417">
      <c r="A417" s="67"/>
      <c r="B417" s="73"/>
      <c r="C417" s="74"/>
      <c r="D417" s="75"/>
      <c r="E417" s="76"/>
      <c r="F417" s="75"/>
      <c r="G417" s="62"/>
      <c r="H417" s="63" t="str">
        <f t="shared" si="1"/>
        <v/>
      </c>
      <c r="I417" s="55"/>
    </row>
    <row r="418">
      <c r="A418" s="67"/>
      <c r="B418" s="73"/>
      <c r="C418" s="74"/>
      <c r="D418" s="75"/>
      <c r="E418" s="76"/>
      <c r="F418" s="75"/>
      <c r="G418" s="62"/>
      <c r="H418" s="63" t="str">
        <f t="shared" si="1"/>
        <v/>
      </c>
      <c r="I418" s="55"/>
    </row>
    <row r="419">
      <c r="A419" s="67"/>
      <c r="B419" s="73"/>
      <c r="C419" s="74"/>
      <c r="D419" s="75"/>
      <c r="E419" s="76"/>
      <c r="F419" s="75"/>
      <c r="G419" s="62"/>
      <c r="H419" s="63" t="str">
        <f t="shared" si="1"/>
        <v/>
      </c>
      <c r="I419" s="55"/>
    </row>
    <row r="420">
      <c r="A420" s="67"/>
      <c r="B420" s="73"/>
      <c r="C420" s="74"/>
      <c r="D420" s="75"/>
      <c r="E420" s="76"/>
      <c r="F420" s="75"/>
      <c r="G420" s="62"/>
      <c r="H420" s="63" t="str">
        <f t="shared" si="1"/>
        <v/>
      </c>
      <c r="I420" s="55"/>
    </row>
    <row r="421">
      <c r="A421" s="67"/>
      <c r="B421" s="73"/>
      <c r="C421" s="74"/>
      <c r="D421" s="75"/>
      <c r="E421" s="76"/>
      <c r="F421" s="75"/>
      <c r="G421" s="62"/>
      <c r="H421" s="63" t="str">
        <f t="shared" si="1"/>
        <v/>
      </c>
      <c r="I421" s="55"/>
    </row>
    <row r="422">
      <c r="A422" s="67"/>
      <c r="B422" s="73"/>
      <c r="C422" s="74"/>
      <c r="D422" s="75"/>
      <c r="E422" s="76"/>
      <c r="F422" s="75"/>
      <c r="G422" s="62"/>
      <c r="H422" s="63" t="str">
        <f t="shared" si="1"/>
        <v/>
      </c>
      <c r="I422" s="55"/>
    </row>
    <row r="423">
      <c r="A423" s="67"/>
      <c r="B423" s="73"/>
      <c r="C423" s="74"/>
      <c r="D423" s="75"/>
      <c r="E423" s="76"/>
      <c r="F423" s="75"/>
      <c r="G423" s="62"/>
      <c r="H423" s="63" t="str">
        <f t="shared" si="1"/>
        <v/>
      </c>
      <c r="I423" s="55"/>
    </row>
    <row r="424">
      <c r="A424" s="67"/>
      <c r="B424" s="73"/>
      <c r="C424" s="74"/>
      <c r="D424" s="75"/>
      <c r="E424" s="76"/>
      <c r="F424" s="75"/>
      <c r="G424" s="62"/>
      <c r="H424" s="63" t="str">
        <f t="shared" si="1"/>
        <v/>
      </c>
      <c r="I424" s="55"/>
    </row>
    <row r="425">
      <c r="A425" s="67"/>
      <c r="B425" s="73"/>
      <c r="C425" s="74"/>
      <c r="D425" s="75"/>
      <c r="E425" s="76"/>
      <c r="F425" s="75"/>
      <c r="G425" s="62"/>
      <c r="H425" s="63" t="str">
        <f t="shared" si="1"/>
        <v/>
      </c>
      <c r="I425" s="55"/>
    </row>
    <row r="426">
      <c r="A426" s="67"/>
      <c r="B426" s="73"/>
      <c r="C426" s="74"/>
      <c r="D426" s="75"/>
      <c r="E426" s="76"/>
      <c r="F426" s="75"/>
      <c r="G426" s="62"/>
      <c r="H426" s="63" t="str">
        <f t="shared" si="1"/>
        <v/>
      </c>
      <c r="I426" s="55"/>
    </row>
    <row r="427">
      <c r="A427" s="67"/>
      <c r="B427" s="73"/>
      <c r="C427" s="74"/>
      <c r="D427" s="75"/>
      <c r="E427" s="76"/>
      <c r="F427" s="75"/>
      <c r="G427" s="62"/>
      <c r="H427" s="63" t="str">
        <f t="shared" si="1"/>
        <v/>
      </c>
      <c r="I427" s="55"/>
    </row>
    <row r="428">
      <c r="A428" s="67"/>
      <c r="B428" s="73"/>
      <c r="C428" s="74"/>
      <c r="D428" s="75"/>
      <c r="E428" s="76"/>
      <c r="F428" s="75"/>
      <c r="G428" s="62"/>
      <c r="H428" s="63" t="str">
        <f t="shared" si="1"/>
        <v/>
      </c>
      <c r="I428" s="55"/>
    </row>
    <row r="429">
      <c r="A429" s="67"/>
      <c r="B429" s="73"/>
      <c r="C429" s="74"/>
      <c r="D429" s="75"/>
      <c r="E429" s="76"/>
      <c r="F429" s="75"/>
      <c r="G429" s="62"/>
      <c r="H429" s="63" t="str">
        <f t="shared" si="1"/>
        <v/>
      </c>
      <c r="I429" s="55"/>
    </row>
    <row r="430">
      <c r="A430" s="67"/>
      <c r="B430" s="73"/>
      <c r="C430" s="74"/>
      <c r="D430" s="75"/>
      <c r="E430" s="76"/>
      <c r="F430" s="75"/>
      <c r="G430" s="62"/>
      <c r="H430" s="63" t="str">
        <f t="shared" si="1"/>
        <v/>
      </c>
      <c r="I430" s="55"/>
    </row>
    <row r="431">
      <c r="A431" s="67"/>
      <c r="B431" s="73"/>
      <c r="C431" s="74"/>
      <c r="D431" s="75"/>
      <c r="E431" s="76"/>
      <c r="F431" s="75"/>
      <c r="G431" s="62"/>
      <c r="H431" s="63" t="str">
        <f t="shared" si="1"/>
        <v/>
      </c>
      <c r="I431" s="55"/>
    </row>
    <row r="432">
      <c r="A432" s="67"/>
      <c r="B432" s="73"/>
      <c r="C432" s="74"/>
      <c r="D432" s="75"/>
      <c r="E432" s="76"/>
      <c r="F432" s="75"/>
      <c r="G432" s="62"/>
      <c r="H432" s="63" t="str">
        <f t="shared" si="1"/>
        <v/>
      </c>
      <c r="I432" s="55"/>
    </row>
    <row r="433">
      <c r="A433" s="67"/>
      <c r="B433" s="73"/>
      <c r="C433" s="74"/>
      <c r="D433" s="75"/>
      <c r="E433" s="76"/>
      <c r="F433" s="75"/>
      <c r="G433" s="62"/>
      <c r="H433" s="63" t="str">
        <f t="shared" si="1"/>
        <v/>
      </c>
      <c r="I433" s="55"/>
    </row>
    <row r="434">
      <c r="A434" s="67"/>
      <c r="B434" s="73"/>
      <c r="C434" s="74"/>
      <c r="D434" s="75"/>
      <c r="E434" s="76"/>
      <c r="F434" s="75"/>
      <c r="G434" s="62"/>
      <c r="H434" s="63" t="str">
        <f t="shared" si="1"/>
        <v/>
      </c>
      <c r="I434" s="55"/>
    </row>
    <row r="435">
      <c r="A435" s="67"/>
      <c r="B435" s="73"/>
      <c r="C435" s="74"/>
      <c r="D435" s="75"/>
      <c r="E435" s="76"/>
      <c r="F435" s="75"/>
      <c r="G435" s="62"/>
      <c r="H435" s="63" t="str">
        <f t="shared" si="1"/>
        <v/>
      </c>
      <c r="I435" s="55"/>
    </row>
    <row r="436">
      <c r="A436" s="67"/>
      <c r="B436" s="73"/>
      <c r="C436" s="74"/>
      <c r="D436" s="75"/>
      <c r="E436" s="76"/>
      <c r="F436" s="75"/>
      <c r="G436" s="62"/>
      <c r="H436" s="63" t="str">
        <f t="shared" si="1"/>
        <v/>
      </c>
      <c r="I436" s="55"/>
    </row>
    <row r="437">
      <c r="A437" s="67"/>
      <c r="B437" s="73"/>
      <c r="C437" s="74"/>
      <c r="D437" s="75"/>
      <c r="E437" s="76"/>
      <c r="F437" s="75"/>
      <c r="G437" s="62"/>
      <c r="H437" s="63" t="str">
        <f t="shared" si="1"/>
        <v/>
      </c>
      <c r="I437" s="55"/>
    </row>
    <row r="438">
      <c r="A438" s="67"/>
      <c r="B438" s="73"/>
      <c r="C438" s="74"/>
      <c r="D438" s="75"/>
      <c r="E438" s="76"/>
      <c r="F438" s="75"/>
      <c r="G438" s="62"/>
      <c r="H438" s="63" t="str">
        <f t="shared" si="1"/>
        <v/>
      </c>
      <c r="I438" s="55"/>
    </row>
    <row r="439">
      <c r="A439" s="67"/>
      <c r="B439" s="73"/>
      <c r="C439" s="74"/>
      <c r="D439" s="75"/>
      <c r="E439" s="76"/>
      <c r="F439" s="75"/>
      <c r="G439" s="62"/>
      <c r="H439" s="63" t="str">
        <f t="shared" si="1"/>
        <v/>
      </c>
      <c r="I439" s="55"/>
    </row>
    <row r="440">
      <c r="A440" s="67"/>
      <c r="B440" s="73"/>
      <c r="C440" s="74"/>
      <c r="D440" s="75"/>
      <c r="E440" s="76"/>
      <c r="F440" s="75"/>
      <c r="G440" s="62"/>
      <c r="H440" s="63" t="str">
        <f t="shared" si="1"/>
        <v/>
      </c>
      <c r="I440" s="55"/>
    </row>
    <row r="441">
      <c r="A441" s="67"/>
      <c r="B441" s="73"/>
      <c r="C441" s="74"/>
      <c r="D441" s="75"/>
      <c r="E441" s="76"/>
      <c r="F441" s="75"/>
      <c r="G441" s="62"/>
      <c r="H441" s="63" t="str">
        <f t="shared" si="1"/>
        <v/>
      </c>
      <c r="I441" s="55"/>
    </row>
    <row r="442">
      <c r="A442" s="67"/>
      <c r="B442" s="73"/>
      <c r="C442" s="74"/>
      <c r="D442" s="75"/>
      <c r="E442" s="76"/>
      <c r="F442" s="75"/>
      <c r="G442" s="62"/>
      <c r="H442" s="63" t="str">
        <f t="shared" si="1"/>
        <v/>
      </c>
      <c r="I442" s="55"/>
    </row>
    <row r="443">
      <c r="A443" s="67"/>
      <c r="B443" s="73"/>
      <c r="C443" s="74"/>
      <c r="D443" s="75"/>
      <c r="E443" s="76"/>
      <c r="F443" s="75"/>
      <c r="G443" s="62"/>
      <c r="H443" s="63" t="str">
        <f t="shared" si="1"/>
        <v/>
      </c>
      <c r="I443" s="55"/>
    </row>
    <row r="444">
      <c r="A444" s="67"/>
      <c r="B444" s="73"/>
      <c r="C444" s="74"/>
      <c r="D444" s="75"/>
      <c r="E444" s="76"/>
      <c r="F444" s="75"/>
      <c r="G444" s="62"/>
      <c r="H444" s="63" t="str">
        <f t="shared" si="1"/>
        <v/>
      </c>
      <c r="I444" s="55"/>
    </row>
    <row r="445">
      <c r="A445" s="67"/>
      <c r="B445" s="73"/>
      <c r="C445" s="74"/>
      <c r="D445" s="75"/>
      <c r="E445" s="76"/>
      <c r="F445" s="75"/>
      <c r="G445" s="62"/>
      <c r="H445" s="63" t="str">
        <f t="shared" si="1"/>
        <v/>
      </c>
      <c r="I445" s="55"/>
    </row>
    <row r="446">
      <c r="A446" s="67"/>
      <c r="B446" s="73"/>
      <c r="C446" s="74"/>
      <c r="D446" s="75"/>
      <c r="E446" s="76"/>
      <c r="F446" s="75"/>
      <c r="G446" s="62"/>
      <c r="H446" s="63" t="str">
        <f t="shared" si="1"/>
        <v/>
      </c>
      <c r="I446" s="55"/>
    </row>
    <row r="447">
      <c r="A447" s="67"/>
      <c r="B447" s="73"/>
      <c r="C447" s="74"/>
      <c r="D447" s="75"/>
      <c r="E447" s="76"/>
      <c r="F447" s="75"/>
      <c r="G447" s="62"/>
      <c r="H447" s="63" t="str">
        <f t="shared" si="1"/>
        <v/>
      </c>
      <c r="I447" s="55"/>
    </row>
    <row r="448">
      <c r="A448" s="67"/>
      <c r="B448" s="73"/>
      <c r="C448" s="74"/>
      <c r="D448" s="75"/>
      <c r="E448" s="76"/>
      <c r="F448" s="75"/>
      <c r="G448" s="62"/>
      <c r="H448" s="63" t="str">
        <f t="shared" si="1"/>
        <v/>
      </c>
      <c r="I448" s="55"/>
    </row>
    <row r="449">
      <c r="A449" s="67"/>
      <c r="B449" s="73"/>
      <c r="C449" s="74"/>
      <c r="D449" s="75"/>
      <c r="E449" s="76"/>
      <c r="F449" s="75"/>
      <c r="G449" s="62"/>
      <c r="H449" s="63" t="str">
        <f t="shared" si="1"/>
        <v/>
      </c>
      <c r="I449" s="55"/>
    </row>
    <row r="450">
      <c r="A450" s="67"/>
      <c r="B450" s="73"/>
      <c r="C450" s="74"/>
      <c r="D450" s="75"/>
      <c r="E450" s="76"/>
      <c r="F450" s="75"/>
      <c r="G450" s="62"/>
      <c r="H450" s="63" t="str">
        <f t="shared" si="1"/>
        <v/>
      </c>
      <c r="I450" s="55"/>
    </row>
    <row r="451">
      <c r="A451" s="67"/>
      <c r="B451" s="73"/>
      <c r="C451" s="74"/>
      <c r="D451" s="75"/>
      <c r="E451" s="76"/>
      <c r="F451" s="75"/>
      <c r="G451" s="62"/>
      <c r="H451" s="63" t="str">
        <f t="shared" si="1"/>
        <v/>
      </c>
      <c r="I451" s="55"/>
    </row>
    <row r="452">
      <c r="A452" s="67"/>
      <c r="B452" s="73"/>
      <c r="C452" s="74"/>
      <c r="D452" s="75"/>
      <c r="E452" s="76"/>
      <c r="F452" s="75"/>
      <c r="G452" s="62"/>
      <c r="H452" s="63" t="str">
        <f t="shared" si="1"/>
        <v/>
      </c>
      <c r="I452" s="55"/>
    </row>
    <row r="453">
      <c r="A453" s="67"/>
      <c r="B453" s="73"/>
      <c r="C453" s="74"/>
      <c r="D453" s="75"/>
      <c r="E453" s="76"/>
      <c r="F453" s="75"/>
      <c r="G453" s="62"/>
      <c r="H453" s="63" t="str">
        <f t="shared" si="1"/>
        <v/>
      </c>
      <c r="I453" s="55"/>
    </row>
    <row r="454">
      <c r="A454" s="67"/>
      <c r="B454" s="73"/>
      <c r="C454" s="74"/>
      <c r="D454" s="75"/>
      <c r="E454" s="76"/>
      <c r="F454" s="75"/>
      <c r="G454" s="62"/>
      <c r="H454" s="63" t="str">
        <f t="shared" si="1"/>
        <v/>
      </c>
      <c r="I454" s="55"/>
    </row>
    <row r="455">
      <c r="A455" s="67"/>
      <c r="B455" s="73"/>
      <c r="C455" s="74"/>
      <c r="D455" s="75"/>
      <c r="E455" s="76"/>
      <c r="F455" s="75"/>
      <c r="G455" s="62"/>
      <c r="H455" s="63" t="str">
        <f t="shared" si="1"/>
        <v/>
      </c>
      <c r="I455" s="55"/>
    </row>
    <row r="456">
      <c r="A456" s="67"/>
      <c r="B456" s="73"/>
      <c r="C456" s="74"/>
      <c r="D456" s="75"/>
      <c r="E456" s="76"/>
      <c r="F456" s="75"/>
      <c r="G456" s="62"/>
      <c r="H456" s="63" t="str">
        <f t="shared" si="1"/>
        <v/>
      </c>
      <c r="I456" s="55"/>
    </row>
    <row r="457">
      <c r="A457" s="67"/>
      <c r="B457" s="73"/>
      <c r="C457" s="74"/>
      <c r="D457" s="75"/>
      <c r="E457" s="76"/>
      <c r="F457" s="75"/>
      <c r="G457" s="62"/>
      <c r="H457" s="63" t="str">
        <f t="shared" si="1"/>
        <v/>
      </c>
      <c r="I457" s="55"/>
    </row>
    <row r="458">
      <c r="A458" s="67"/>
      <c r="B458" s="73"/>
      <c r="C458" s="74"/>
      <c r="D458" s="75"/>
      <c r="E458" s="76"/>
      <c r="F458" s="75"/>
      <c r="G458" s="62"/>
      <c r="H458" s="63" t="str">
        <f t="shared" si="1"/>
        <v/>
      </c>
      <c r="I458" s="55"/>
    </row>
    <row r="459">
      <c r="A459" s="67"/>
      <c r="B459" s="73"/>
      <c r="C459" s="74"/>
      <c r="D459" s="75"/>
      <c r="E459" s="76"/>
      <c r="F459" s="75"/>
      <c r="G459" s="62"/>
      <c r="H459" s="63" t="str">
        <f t="shared" si="1"/>
        <v/>
      </c>
      <c r="I459" s="55"/>
    </row>
    <row r="460">
      <c r="A460" s="67"/>
      <c r="B460" s="73"/>
      <c r="C460" s="74"/>
      <c r="D460" s="75"/>
      <c r="E460" s="76"/>
      <c r="F460" s="75"/>
      <c r="G460" s="62"/>
      <c r="H460" s="63" t="str">
        <f t="shared" si="1"/>
        <v/>
      </c>
      <c r="I460" s="55"/>
    </row>
    <row r="461">
      <c r="A461" s="67"/>
      <c r="B461" s="73"/>
      <c r="C461" s="74"/>
      <c r="D461" s="75"/>
      <c r="E461" s="76"/>
      <c r="F461" s="75"/>
      <c r="G461" s="62"/>
      <c r="H461" s="63" t="str">
        <f t="shared" si="1"/>
        <v/>
      </c>
      <c r="I461" s="55"/>
    </row>
    <row r="462">
      <c r="A462" s="67"/>
      <c r="B462" s="73"/>
      <c r="C462" s="74"/>
      <c r="D462" s="75"/>
      <c r="E462" s="76"/>
      <c r="F462" s="75"/>
      <c r="G462" s="62"/>
      <c r="H462" s="63" t="str">
        <f t="shared" si="1"/>
        <v/>
      </c>
      <c r="I462" s="55"/>
    </row>
    <row r="463">
      <c r="A463" s="67"/>
      <c r="B463" s="73"/>
      <c r="C463" s="74"/>
      <c r="D463" s="75"/>
      <c r="E463" s="76"/>
      <c r="F463" s="75"/>
      <c r="G463" s="62"/>
      <c r="H463" s="63" t="str">
        <f t="shared" si="1"/>
        <v/>
      </c>
      <c r="I463" s="55"/>
    </row>
    <row r="464">
      <c r="A464" s="67"/>
      <c r="B464" s="73"/>
      <c r="C464" s="74"/>
      <c r="D464" s="75"/>
      <c r="E464" s="76"/>
      <c r="F464" s="75"/>
      <c r="G464" s="62"/>
      <c r="H464" s="63" t="str">
        <f t="shared" si="1"/>
        <v/>
      </c>
      <c r="I464" s="55"/>
    </row>
    <row r="465">
      <c r="A465" s="67"/>
      <c r="B465" s="73"/>
      <c r="C465" s="74"/>
      <c r="D465" s="75"/>
      <c r="E465" s="76"/>
      <c r="F465" s="75"/>
      <c r="G465" s="62"/>
      <c r="H465" s="63" t="str">
        <f t="shared" si="1"/>
        <v/>
      </c>
      <c r="I465" s="55"/>
    </row>
    <row r="466">
      <c r="A466" s="67"/>
      <c r="B466" s="73"/>
      <c r="C466" s="74"/>
      <c r="D466" s="75"/>
      <c r="E466" s="76"/>
      <c r="F466" s="75"/>
      <c r="G466" s="62"/>
      <c r="H466" s="63" t="str">
        <f t="shared" si="1"/>
        <v/>
      </c>
      <c r="I466" s="55"/>
    </row>
    <row r="467">
      <c r="A467" s="67"/>
      <c r="B467" s="73"/>
      <c r="C467" s="74"/>
      <c r="D467" s="75"/>
      <c r="E467" s="76"/>
      <c r="F467" s="75"/>
      <c r="G467" s="62"/>
      <c r="H467" s="63" t="str">
        <f t="shared" si="1"/>
        <v/>
      </c>
      <c r="I467" s="55"/>
    </row>
    <row r="468">
      <c r="A468" s="67"/>
      <c r="B468" s="73"/>
      <c r="C468" s="74"/>
      <c r="D468" s="75"/>
      <c r="E468" s="76"/>
      <c r="F468" s="75"/>
      <c r="G468" s="62"/>
      <c r="H468" s="63" t="str">
        <f t="shared" si="1"/>
        <v/>
      </c>
      <c r="I468" s="55"/>
    </row>
    <row r="469">
      <c r="A469" s="67"/>
      <c r="B469" s="73"/>
      <c r="C469" s="74"/>
      <c r="D469" s="75"/>
      <c r="E469" s="76"/>
      <c r="F469" s="75"/>
      <c r="G469" s="62"/>
      <c r="H469" s="63" t="str">
        <f t="shared" si="1"/>
        <v/>
      </c>
      <c r="I469" s="55"/>
    </row>
    <row r="470">
      <c r="A470" s="67"/>
      <c r="B470" s="73"/>
      <c r="C470" s="74"/>
      <c r="D470" s="75"/>
      <c r="E470" s="76"/>
      <c r="F470" s="75"/>
      <c r="G470" s="62"/>
      <c r="H470" s="63" t="str">
        <f t="shared" si="1"/>
        <v/>
      </c>
      <c r="I470" s="55"/>
    </row>
    <row r="471">
      <c r="A471" s="67"/>
      <c r="B471" s="73"/>
      <c r="C471" s="74"/>
      <c r="D471" s="75"/>
      <c r="E471" s="76"/>
      <c r="F471" s="75"/>
      <c r="G471" s="62"/>
      <c r="H471" s="63" t="str">
        <f t="shared" si="1"/>
        <v/>
      </c>
      <c r="I471" s="55"/>
    </row>
    <row r="472">
      <c r="A472" s="67"/>
      <c r="B472" s="73"/>
      <c r="C472" s="74"/>
      <c r="D472" s="75"/>
      <c r="E472" s="76"/>
      <c r="F472" s="75"/>
      <c r="G472" s="62"/>
      <c r="H472" s="63" t="str">
        <f t="shared" si="1"/>
        <v/>
      </c>
      <c r="I472" s="55"/>
    </row>
    <row r="473">
      <c r="A473" s="67"/>
      <c r="B473" s="73"/>
      <c r="C473" s="74"/>
      <c r="D473" s="75"/>
      <c r="E473" s="76"/>
      <c r="F473" s="75"/>
      <c r="G473" s="62"/>
      <c r="H473" s="63" t="str">
        <f t="shared" si="1"/>
        <v/>
      </c>
      <c r="I473" s="55"/>
    </row>
    <row r="474">
      <c r="A474" s="67"/>
      <c r="B474" s="73"/>
      <c r="C474" s="74"/>
      <c r="D474" s="75"/>
      <c r="E474" s="76"/>
      <c r="F474" s="75"/>
      <c r="G474" s="62"/>
      <c r="H474" s="63" t="str">
        <f t="shared" si="1"/>
        <v/>
      </c>
      <c r="I474" s="55"/>
    </row>
    <row r="475">
      <c r="A475" s="67"/>
      <c r="B475" s="73"/>
      <c r="C475" s="74"/>
      <c r="D475" s="75"/>
      <c r="E475" s="76"/>
      <c r="F475" s="75"/>
      <c r="G475" s="62"/>
      <c r="H475" s="63" t="str">
        <f t="shared" si="1"/>
        <v/>
      </c>
      <c r="I475" s="55"/>
    </row>
    <row r="476">
      <c r="A476" s="67"/>
      <c r="B476" s="73"/>
      <c r="C476" s="74"/>
      <c r="D476" s="75"/>
      <c r="E476" s="76"/>
      <c r="F476" s="75"/>
      <c r="G476" s="62"/>
      <c r="H476" s="63" t="str">
        <f t="shared" si="1"/>
        <v/>
      </c>
      <c r="I476" s="55"/>
    </row>
    <row r="477">
      <c r="A477" s="67"/>
      <c r="B477" s="73"/>
      <c r="C477" s="74"/>
      <c r="D477" s="75"/>
      <c r="E477" s="76"/>
      <c r="F477" s="75"/>
      <c r="G477" s="62"/>
      <c r="H477" s="63" t="str">
        <f t="shared" si="1"/>
        <v/>
      </c>
      <c r="I477" s="55"/>
    </row>
    <row r="478">
      <c r="A478" s="67"/>
      <c r="B478" s="73"/>
      <c r="C478" s="74"/>
      <c r="D478" s="75"/>
      <c r="E478" s="76"/>
      <c r="F478" s="75"/>
      <c r="G478" s="62"/>
      <c r="H478" s="63" t="str">
        <f t="shared" si="1"/>
        <v/>
      </c>
      <c r="I478" s="55"/>
    </row>
    <row r="479">
      <c r="A479" s="67"/>
      <c r="B479" s="73"/>
      <c r="C479" s="74"/>
      <c r="D479" s="75"/>
      <c r="E479" s="76"/>
      <c r="F479" s="75"/>
      <c r="G479" s="62"/>
      <c r="H479" s="63" t="str">
        <f t="shared" si="1"/>
        <v/>
      </c>
      <c r="I479" s="55"/>
    </row>
    <row r="480">
      <c r="A480" s="67"/>
      <c r="B480" s="73"/>
      <c r="C480" s="74"/>
      <c r="D480" s="75"/>
      <c r="E480" s="76"/>
      <c r="F480" s="75"/>
      <c r="G480" s="62"/>
      <c r="H480" s="63" t="str">
        <f t="shared" si="1"/>
        <v/>
      </c>
      <c r="I480" s="55"/>
    </row>
    <row r="481">
      <c r="A481" s="67"/>
      <c r="B481" s="73"/>
      <c r="C481" s="74"/>
      <c r="D481" s="75"/>
      <c r="E481" s="76"/>
      <c r="F481" s="75"/>
      <c r="G481" s="62"/>
      <c r="H481" s="63" t="str">
        <f t="shared" si="1"/>
        <v/>
      </c>
      <c r="I481" s="55"/>
    </row>
    <row r="482">
      <c r="A482" s="67"/>
      <c r="B482" s="73"/>
      <c r="C482" s="74"/>
      <c r="D482" s="75"/>
      <c r="E482" s="76"/>
      <c r="F482" s="75"/>
      <c r="G482" s="62"/>
      <c r="H482" s="63" t="str">
        <f t="shared" si="1"/>
        <v/>
      </c>
      <c r="I482" s="55"/>
    </row>
    <row r="483">
      <c r="A483" s="67"/>
      <c r="B483" s="73"/>
      <c r="C483" s="74"/>
      <c r="D483" s="75"/>
      <c r="E483" s="76"/>
      <c r="F483" s="75"/>
      <c r="G483" s="62"/>
      <c r="H483" s="63" t="str">
        <f t="shared" si="1"/>
        <v/>
      </c>
      <c r="I483" s="55"/>
    </row>
    <row r="484">
      <c r="A484" s="67"/>
      <c r="B484" s="73"/>
      <c r="C484" s="74"/>
      <c r="D484" s="75"/>
      <c r="E484" s="76"/>
      <c r="F484" s="75"/>
      <c r="G484" s="62"/>
      <c r="H484" s="63" t="str">
        <f t="shared" si="1"/>
        <v/>
      </c>
      <c r="I484" s="55"/>
    </row>
    <row r="485">
      <c r="A485" s="67"/>
      <c r="B485" s="73"/>
      <c r="C485" s="74"/>
      <c r="D485" s="75"/>
      <c r="E485" s="76"/>
      <c r="F485" s="75"/>
      <c r="G485" s="62"/>
      <c r="H485" s="63" t="str">
        <f t="shared" si="1"/>
        <v/>
      </c>
      <c r="I485" s="55"/>
    </row>
    <row r="486">
      <c r="A486" s="67"/>
      <c r="B486" s="73"/>
      <c r="C486" s="74"/>
      <c r="D486" s="75"/>
      <c r="E486" s="76"/>
      <c r="F486" s="75"/>
      <c r="G486" s="62"/>
      <c r="H486" s="63" t="str">
        <f t="shared" si="1"/>
        <v/>
      </c>
      <c r="I486" s="55"/>
    </row>
    <row r="487">
      <c r="A487" s="67"/>
      <c r="B487" s="73"/>
      <c r="C487" s="74"/>
      <c r="D487" s="75"/>
      <c r="E487" s="76"/>
      <c r="F487" s="75"/>
      <c r="G487" s="62"/>
      <c r="H487" s="63" t="str">
        <f t="shared" si="1"/>
        <v/>
      </c>
      <c r="I487" s="55"/>
    </row>
    <row r="488">
      <c r="A488" s="67"/>
      <c r="B488" s="73"/>
      <c r="C488" s="74"/>
      <c r="D488" s="75"/>
      <c r="E488" s="76"/>
      <c r="F488" s="75"/>
      <c r="G488" s="62"/>
      <c r="H488" s="63" t="str">
        <f t="shared" si="1"/>
        <v/>
      </c>
      <c r="I488" s="55"/>
    </row>
    <row r="489">
      <c r="A489" s="67"/>
      <c r="B489" s="73"/>
      <c r="C489" s="74"/>
      <c r="D489" s="75"/>
      <c r="E489" s="76"/>
      <c r="F489" s="75"/>
      <c r="G489" s="62"/>
      <c r="H489" s="63" t="str">
        <f t="shared" si="1"/>
        <v/>
      </c>
      <c r="I489" s="55"/>
    </row>
    <row r="490">
      <c r="A490" s="67"/>
      <c r="B490" s="73"/>
      <c r="C490" s="74"/>
      <c r="D490" s="75"/>
      <c r="E490" s="76"/>
      <c r="F490" s="75"/>
      <c r="G490" s="62"/>
      <c r="H490" s="63" t="str">
        <f t="shared" si="1"/>
        <v/>
      </c>
      <c r="I490" s="55"/>
    </row>
    <row r="491">
      <c r="A491" s="67"/>
      <c r="B491" s="73"/>
      <c r="C491" s="74"/>
      <c r="D491" s="75"/>
      <c r="E491" s="76"/>
      <c r="F491" s="75"/>
      <c r="G491" s="62"/>
      <c r="H491" s="63" t="str">
        <f t="shared" si="1"/>
        <v/>
      </c>
      <c r="I491" s="55"/>
    </row>
    <row r="492">
      <c r="A492" s="67"/>
      <c r="B492" s="73"/>
      <c r="C492" s="74"/>
      <c r="D492" s="75"/>
      <c r="E492" s="76"/>
      <c r="F492" s="75"/>
      <c r="G492" s="62"/>
      <c r="H492" s="63" t="str">
        <f t="shared" si="1"/>
        <v/>
      </c>
      <c r="I492" s="55"/>
    </row>
    <row r="493">
      <c r="A493" s="67"/>
      <c r="B493" s="73"/>
      <c r="C493" s="74"/>
      <c r="D493" s="75"/>
      <c r="E493" s="76"/>
      <c r="F493" s="75"/>
      <c r="G493" s="62"/>
      <c r="H493" s="63" t="str">
        <f t="shared" si="1"/>
        <v/>
      </c>
      <c r="I493" s="55"/>
    </row>
    <row r="494">
      <c r="A494" s="67"/>
      <c r="B494" s="73"/>
      <c r="C494" s="74"/>
      <c r="D494" s="75"/>
      <c r="E494" s="76"/>
      <c r="F494" s="75"/>
      <c r="G494" s="62"/>
      <c r="H494" s="63" t="str">
        <f t="shared" si="1"/>
        <v/>
      </c>
      <c r="I494" s="55"/>
    </row>
    <row r="495">
      <c r="A495" s="67"/>
      <c r="B495" s="73"/>
      <c r="C495" s="74"/>
      <c r="D495" s="75"/>
      <c r="E495" s="76"/>
      <c r="F495" s="75"/>
      <c r="G495" s="62"/>
      <c r="H495" s="63" t="str">
        <f t="shared" si="1"/>
        <v/>
      </c>
      <c r="I495" s="55"/>
    </row>
    <row r="496">
      <c r="A496" s="67"/>
      <c r="B496" s="73"/>
      <c r="C496" s="74"/>
      <c r="D496" s="75"/>
      <c r="E496" s="76"/>
      <c r="F496" s="75"/>
      <c r="G496" s="62"/>
      <c r="H496" s="63" t="str">
        <f t="shared" si="1"/>
        <v/>
      </c>
      <c r="I496" s="55"/>
    </row>
    <row r="497">
      <c r="A497" s="67"/>
      <c r="B497" s="73"/>
      <c r="C497" s="74"/>
      <c r="D497" s="75"/>
      <c r="E497" s="76"/>
      <c r="F497" s="75"/>
      <c r="G497" s="62"/>
      <c r="H497" s="63" t="str">
        <f t="shared" si="1"/>
        <v/>
      </c>
      <c r="I497" s="55"/>
    </row>
    <row r="498">
      <c r="A498" s="67"/>
      <c r="B498" s="73"/>
      <c r="C498" s="74"/>
      <c r="D498" s="75"/>
      <c r="E498" s="76"/>
      <c r="F498" s="75"/>
      <c r="G498" s="62"/>
      <c r="H498" s="63" t="str">
        <f t="shared" si="1"/>
        <v/>
      </c>
      <c r="I498" s="55"/>
    </row>
    <row r="499">
      <c r="A499" s="67"/>
      <c r="B499" s="73"/>
      <c r="C499" s="74"/>
      <c r="D499" s="75"/>
      <c r="E499" s="76"/>
      <c r="F499" s="75"/>
      <c r="G499" s="62"/>
      <c r="H499" s="63" t="str">
        <f t="shared" si="1"/>
        <v/>
      </c>
      <c r="I499" s="55"/>
    </row>
    <row r="500">
      <c r="A500" s="67"/>
      <c r="B500" s="73"/>
      <c r="C500" s="74"/>
      <c r="D500" s="75"/>
      <c r="E500" s="76"/>
      <c r="F500" s="75"/>
      <c r="G500" s="62"/>
      <c r="H500" s="63" t="str">
        <f t="shared" si="1"/>
        <v/>
      </c>
      <c r="I500" s="55"/>
    </row>
    <row r="501">
      <c r="A501" s="67"/>
      <c r="B501" s="73"/>
      <c r="C501" s="74"/>
      <c r="D501" s="75"/>
      <c r="E501" s="76"/>
      <c r="F501" s="75"/>
      <c r="G501" s="62"/>
      <c r="H501" s="63" t="str">
        <f t="shared" si="1"/>
        <v/>
      </c>
      <c r="I501" s="55"/>
    </row>
    <row r="502">
      <c r="A502" s="67"/>
      <c r="B502" s="73"/>
      <c r="C502" s="74"/>
      <c r="D502" s="75"/>
      <c r="E502" s="76"/>
      <c r="F502" s="75"/>
      <c r="G502" s="62"/>
      <c r="H502" s="63" t="str">
        <f t="shared" si="1"/>
        <v/>
      </c>
      <c r="I502" s="55"/>
    </row>
    <row r="503">
      <c r="A503" s="67"/>
      <c r="B503" s="73"/>
      <c r="C503" s="74"/>
      <c r="D503" s="75"/>
      <c r="E503" s="76"/>
      <c r="F503" s="75"/>
      <c r="G503" s="62"/>
      <c r="H503" s="63" t="str">
        <f t="shared" si="1"/>
        <v/>
      </c>
      <c r="I503" s="55"/>
    </row>
    <row r="504">
      <c r="A504" s="67"/>
      <c r="B504" s="73"/>
      <c r="C504" s="74"/>
      <c r="D504" s="75"/>
      <c r="E504" s="76"/>
      <c r="F504" s="75"/>
      <c r="G504" s="62"/>
      <c r="H504" s="63" t="str">
        <f t="shared" si="1"/>
        <v/>
      </c>
      <c r="I504" s="55"/>
    </row>
    <row r="505">
      <c r="A505" s="67"/>
      <c r="B505" s="73"/>
      <c r="C505" s="74"/>
      <c r="D505" s="75"/>
      <c r="E505" s="76"/>
      <c r="F505" s="75"/>
      <c r="G505" s="62"/>
      <c r="H505" s="63" t="str">
        <f t="shared" si="1"/>
        <v/>
      </c>
      <c r="I505" s="55"/>
    </row>
    <row r="506">
      <c r="A506" s="67"/>
      <c r="B506" s="73"/>
      <c r="C506" s="74"/>
      <c r="D506" s="75"/>
      <c r="E506" s="76"/>
      <c r="F506" s="75"/>
      <c r="G506" s="62"/>
      <c r="H506" s="63" t="str">
        <f t="shared" si="1"/>
        <v/>
      </c>
      <c r="I506" s="55"/>
    </row>
    <row r="507">
      <c r="A507" s="67"/>
      <c r="B507" s="73"/>
      <c r="C507" s="74"/>
      <c r="D507" s="75"/>
      <c r="E507" s="76"/>
      <c r="F507" s="75"/>
      <c r="G507" s="62"/>
      <c r="H507" s="63" t="str">
        <f t="shared" si="1"/>
        <v/>
      </c>
      <c r="I507" s="55"/>
    </row>
    <row r="508">
      <c r="A508" s="67"/>
      <c r="B508" s="73"/>
      <c r="C508" s="74"/>
      <c r="D508" s="75"/>
      <c r="E508" s="76"/>
      <c r="F508" s="75"/>
      <c r="G508" s="62"/>
      <c r="H508" s="63" t="str">
        <f t="shared" si="1"/>
        <v/>
      </c>
      <c r="I508" s="55"/>
    </row>
    <row r="509">
      <c r="A509" s="67"/>
      <c r="B509" s="73"/>
      <c r="C509" s="74"/>
      <c r="D509" s="75"/>
      <c r="E509" s="76"/>
      <c r="F509" s="75"/>
      <c r="G509" s="62"/>
      <c r="H509" s="63" t="str">
        <f t="shared" si="1"/>
        <v/>
      </c>
      <c r="I509" s="55"/>
    </row>
    <row r="510">
      <c r="A510" s="67"/>
      <c r="B510" s="73"/>
      <c r="C510" s="74"/>
      <c r="D510" s="75"/>
      <c r="E510" s="76"/>
      <c r="F510" s="75"/>
      <c r="G510" s="62"/>
      <c r="H510" s="63" t="str">
        <f t="shared" si="1"/>
        <v/>
      </c>
      <c r="I510" s="55"/>
    </row>
    <row r="511">
      <c r="A511" s="67"/>
      <c r="B511" s="73"/>
      <c r="C511" s="74"/>
      <c r="D511" s="75"/>
      <c r="E511" s="76"/>
      <c r="F511" s="75"/>
      <c r="G511" s="62"/>
      <c r="H511" s="63" t="str">
        <f t="shared" si="1"/>
        <v/>
      </c>
      <c r="I511" s="55"/>
    </row>
    <row r="512">
      <c r="A512" s="67"/>
      <c r="B512" s="73"/>
      <c r="C512" s="74"/>
      <c r="D512" s="75"/>
      <c r="E512" s="76"/>
      <c r="F512" s="75"/>
      <c r="G512" s="62"/>
      <c r="H512" s="63" t="str">
        <f t="shared" si="1"/>
        <v/>
      </c>
      <c r="I512" s="55"/>
    </row>
    <row r="513">
      <c r="A513" s="67"/>
      <c r="B513" s="73"/>
      <c r="C513" s="74"/>
      <c r="D513" s="75"/>
      <c r="E513" s="76"/>
      <c r="F513" s="75"/>
      <c r="G513" s="62"/>
      <c r="H513" s="63" t="str">
        <f t="shared" si="1"/>
        <v/>
      </c>
      <c r="I513" s="55"/>
    </row>
    <row r="514">
      <c r="A514" s="67"/>
      <c r="B514" s="73"/>
      <c r="C514" s="74"/>
      <c r="D514" s="75"/>
      <c r="E514" s="76"/>
      <c r="F514" s="75"/>
      <c r="G514" s="62"/>
      <c r="H514" s="63" t="str">
        <f t="shared" si="1"/>
        <v/>
      </c>
      <c r="I514" s="55"/>
    </row>
    <row r="515">
      <c r="A515" s="67"/>
      <c r="B515" s="73"/>
      <c r="C515" s="74"/>
      <c r="D515" s="75"/>
      <c r="E515" s="76"/>
      <c r="F515" s="75"/>
      <c r="G515" s="62"/>
      <c r="H515" s="63" t="str">
        <f t="shared" si="1"/>
        <v/>
      </c>
      <c r="I515" s="55"/>
    </row>
    <row r="516">
      <c r="A516" s="67"/>
      <c r="B516" s="73"/>
      <c r="C516" s="74"/>
      <c r="D516" s="75"/>
      <c r="E516" s="76"/>
      <c r="F516" s="75"/>
      <c r="G516" s="62"/>
      <c r="H516" s="63" t="str">
        <f t="shared" si="1"/>
        <v/>
      </c>
      <c r="I516" s="55"/>
    </row>
    <row r="517">
      <c r="A517" s="67"/>
      <c r="B517" s="73"/>
      <c r="C517" s="74"/>
      <c r="D517" s="75"/>
      <c r="E517" s="76"/>
      <c r="F517" s="75"/>
      <c r="G517" s="62"/>
      <c r="H517" s="63" t="str">
        <f t="shared" si="1"/>
        <v/>
      </c>
      <c r="I517" s="55"/>
    </row>
    <row r="518">
      <c r="A518" s="67"/>
      <c r="B518" s="73"/>
      <c r="C518" s="74"/>
      <c r="D518" s="75"/>
      <c r="E518" s="76"/>
      <c r="F518" s="75"/>
      <c r="G518" s="62"/>
      <c r="H518" s="63" t="str">
        <f t="shared" si="1"/>
        <v/>
      </c>
      <c r="I518" s="55"/>
    </row>
    <row r="519">
      <c r="A519" s="67"/>
      <c r="B519" s="73"/>
      <c r="C519" s="74"/>
      <c r="D519" s="75"/>
      <c r="E519" s="76"/>
      <c r="F519" s="75"/>
      <c r="G519" s="62"/>
      <c r="H519" s="63" t="str">
        <f t="shared" si="1"/>
        <v/>
      </c>
      <c r="I519" s="55"/>
    </row>
    <row r="520">
      <c r="A520" s="67"/>
      <c r="B520" s="73"/>
      <c r="C520" s="74"/>
      <c r="D520" s="75"/>
      <c r="E520" s="76"/>
      <c r="F520" s="75"/>
      <c r="G520" s="62"/>
      <c r="H520" s="63" t="str">
        <f t="shared" si="1"/>
        <v/>
      </c>
      <c r="I520" s="55"/>
    </row>
    <row r="521">
      <c r="A521" s="67"/>
      <c r="B521" s="73"/>
      <c r="C521" s="74"/>
      <c r="D521" s="75"/>
      <c r="E521" s="76"/>
      <c r="F521" s="75"/>
      <c r="G521" s="62"/>
      <c r="H521" s="63" t="str">
        <f t="shared" si="1"/>
        <v/>
      </c>
      <c r="I521" s="55"/>
    </row>
    <row r="522">
      <c r="A522" s="67"/>
      <c r="B522" s="73"/>
      <c r="C522" s="74"/>
      <c r="D522" s="75"/>
      <c r="E522" s="76"/>
      <c r="F522" s="75"/>
      <c r="G522" s="62"/>
      <c r="H522" s="63" t="str">
        <f t="shared" si="1"/>
        <v/>
      </c>
      <c r="I522" s="55"/>
    </row>
    <row r="523">
      <c r="A523" s="67"/>
      <c r="B523" s="73"/>
      <c r="C523" s="74"/>
      <c r="D523" s="75"/>
      <c r="E523" s="76"/>
      <c r="F523" s="75"/>
      <c r="G523" s="62"/>
      <c r="H523" s="63" t="str">
        <f t="shared" si="1"/>
        <v/>
      </c>
      <c r="I523" s="55"/>
    </row>
    <row r="524">
      <c r="A524" s="67"/>
      <c r="B524" s="73"/>
      <c r="C524" s="74"/>
      <c r="D524" s="75"/>
      <c r="E524" s="76"/>
      <c r="F524" s="75"/>
      <c r="G524" s="62"/>
      <c r="H524" s="63" t="str">
        <f t="shared" si="1"/>
        <v/>
      </c>
      <c r="I524" s="55"/>
    </row>
    <row r="525">
      <c r="A525" s="67"/>
      <c r="B525" s="73"/>
      <c r="C525" s="74"/>
      <c r="D525" s="75"/>
      <c r="E525" s="76"/>
      <c r="F525" s="75"/>
      <c r="G525" s="62"/>
      <c r="H525" s="63" t="str">
        <f t="shared" si="1"/>
        <v/>
      </c>
      <c r="I525" s="55"/>
    </row>
    <row r="526">
      <c r="A526" s="67"/>
      <c r="B526" s="73"/>
      <c r="C526" s="74"/>
      <c r="D526" s="75"/>
      <c r="E526" s="76"/>
      <c r="F526" s="75"/>
      <c r="G526" s="62"/>
      <c r="H526" s="63" t="str">
        <f t="shared" si="1"/>
        <v/>
      </c>
      <c r="I526" s="55"/>
    </row>
    <row r="527">
      <c r="A527" s="67"/>
      <c r="B527" s="73"/>
      <c r="C527" s="74"/>
      <c r="D527" s="75"/>
      <c r="E527" s="76"/>
      <c r="F527" s="75"/>
      <c r="G527" s="62"/>
      <c r="H527" s="63" t="str">
        <f t="shared" si="1"/>
        <v/>
      </c>
      <c r="I527" s="55"/>
    </row>
    <row r="528">
      <c r="A528" s="67"/>
      <c r="B528" s="73"/>
      <c r="C528" s="74"/>
      <c r="D528" s="75"/>
      <c r="E528" s="76"/>
      <c r="F528" s="75"/>
      <c r="G528" s="62"/>
      <c r="H528" s="63" t="str">
        <f t="shared" si="1"/>
        <v/>
      </c>
      <c r="I528" s="55"/>
    </row>
    <row r="529">
      <c r="A529" s="67"/>
      <c r="B529" s="73"/>
      <c r="C529" s="74"/>
      <c r="D529" s="75"/>
      <c r="E529" s="76"/>
      <c r="F529" s="75"/>
      <c r="G529" s="62"/>
      <c r="H529" s="63" t="str">
        <f t="shared" si="1"/>
        <v/>
      </c>
      <c r="I529" s="55"/>
    </row>
    <row r="530">
      <c r="A530" s="67"/>
      <c r="B530" s="73"/>
      <c r="C530" s="74"/>
      <c r="D530" s="75"/>
      <c r="E530" s="76"/>
      <c r="F530" s="75"/>
      <c r="G530" s="62"/>
      <c r="H530" s="63" t="str">
        <f t="shared" si="1"/>
        <v/>
      </c>
      <c r="I530" s="55"/>
    </row>
    <row r="531">
      <c r="A531" s="67"/>
      <c r="B531" s="73"/>
      <c r="C531" s="74"/>
      <c r="D531" s="75"/>
      <c r="E531" s="76"/>
      <c r="F531" s="75"/>
      <c r="G531" s="62"/>
      <c r="H531" s="63" t="str">
        <f t="shared" si="1"/>
        <v/>
      </c>
      <c r="I531" s="55"/>
    </row>
    <row r="532">
      <c r="A532" s="67"/>
      <c r="B532" s="73"/>
      <c r="C532" s="74"/>
      <c r="D532" s="75"/>
      <c r="E532" s="76"/>
      <c r="F532" s="75"/>
      <c r="G532" s="62"/>
      <c r="H532" s="63" t="str">
        <f t="shared" si="1"/>
        <v/>
      </c>
      <c r="I532" s="55"/>
    </row>
    <row r="533">
      <c r="A533" s="67"/>
      <c r="B533" s="73"/>
      <c r="C533" s="74"/>
      <c r="D533" s="75"/>
      <c r="E533" s="76"/>
      <c r="F533" s="75"/>
      <c r="G533" s="62"/>
      <c r="H533" s="63" t="str">
        <f t="shared" si="1"/>
        <v/>
      </c>
      <c r="I533" s="55"/>
    </row>
    <row r="534">
      <c r="A534" s="67"/>
      <c r="B534" s="73"/>
      <c r="C534" s="74"/>
      <c r="D534" s="75"/>
      <c r="E534" s="76"/>
      <c r="F534" s="75"/>
      <c r="G534" s="62"/>
      <c r="H534" s="63" t="str">
        <f t="shared" si="1"/>
        <v/>
      </c>
      <c r="I534" s="55"/>
    </row>
    <row r="535">
      <c r="A535" s="67"/>
      <c r="B535" s="73"/>
      <c r="C535" s="74"/>
      <c r="D535" s="75"/>
      <c r="E535" s="76"/>
      <c r="F535" s="75"/>
      <c r="G535" s="62"/>
      <c r="H535" s="63" t="str">
        <f t="shared" si="1"/>
        <v/>
      </c>
      <c r="I535" s="55"/>
    </row>
    <row r="536">
      <c r="A536" s="67"/>
      <c r="B536" s="73"/>
      <c r="C536" s="74"/>
      <c r="D536" s="75"/>
      <c r="E536" s="76"/>
      <c r="F536" s="75"/>
      <c r="G536" s="62"/>
      <c r="H536" s="63" t="str">
        <f t="shared" si="1"/>
        <v/>
      </c>
      <c r="I536" s="55"/>
    </row>
    <row r="537">
      <c r="A537" s="67"/>
      <c r="B537" s="73"/>
      <c r="C537" s="74"/>
      <c r="D537" s="75"/>
      <c r="E537" s="76"/>
      <c r="F537" s="75"/>
      <c r="G537" s="62"/>
      <c r="H537" s="63" t="str">
        <f t="shared" si="1"/>
        <v/>
      </c>
      <c r="I537" s="55"/>
    </row>
    <row r="538">
      <c r="A538" s="67"/>
      <c r="B538" s="73"/>
      <c r="C538" s="74"/>
      <c r="D538" s="75"/>
      <c r="E538" s="76"/>
      <c r="F538" s="75"/>
      <c r="G538" s="62"/>
      <c r="H538" s="63" t="str">
        <f t="shared" si="1"/>
        <v/>
      </c>
      <c r="I538" s="55"/>
    </row>
    <row r="539">
      <c r="A539" s="67"/>
      <c r="B539" s="73"/>
      <c r="C539" s="74"/>
      <c r="D539" s="75"/>
      <c r="E539" s="76"/>
      <c r="F539" s="75"/>
      <c r="G539" s="62"/>
      <c r="H539" s="63" t="str">
        <f t="shared" si="1"/>
        <v/>
      </c>
      <c r="I539" s="55"/>
    </row>
    <row r="540">
      <c r="A540" s="67"/>
      <c r="B540" s="73"/>
      <c r="C540" s="74"/>
      <c r="D540" s="75"/>
      <c r="E540" s="76"/>
      <c r="F540" s="75"/>
      <c r="G540" s="62"/>
      <c r="H540" s="63" t="str">
        <f t="shared" si="1"/>
        <v/>
      </c>
      <c r="I540" s="55"/>
    </row>
    <row r="541">
      <c r="A541" s="67"/>
      <c r="B541" s="73"/>
      <c r="C541" s="74"/>
      <c r="D541" s="75"/>
      <c r="E541" s="76"/>
      <c r="F541" s="75"/>
      <c r="G541" s="62"/>
      <c r="H541" s="63" t="str">
        <f t="shared" si="1"/>
        <v/>
      </c>
      <c r="I541" s="55"/>
    </row>
    <row r="542">
      <c r="A542" s="67"/>
      <c r="B542" s="73"/>
      <c r="C542" s="74"/>
      <c r="D542" s="75"/>
      <c r="E542" s="76"/>
      <c r="F542" s="75"/>
      <c r="G542" s="62"/>
      <c r="H542" s="63" t="str">
        <f t="shared" si="1"/>
        <v/>
      </c>
      <c r="I542" s="55"/>
    </row>
    <row r="543">
      <c r="A543" s="67"/>
      <c r="B543" s="73"/>
      <c r="C543" s="74"/>
      <c r="D543" s="75"/>
      <c r="E543" s="76"/>
      <c r="F543" s="75"/>
      <c r="G543" s="62"/>
      <c r="H543" s="63" t="str">
        <f t="shared" si="1"/>
        <v/>
      </c>
      <c r="I543" s="55"/>
    </row>
    <row r="544">
      <c r="A544" s="67"/>
      <c r="B544" s="73"/>
      <c r="C544" s="74"/>
      <c r="D544" s="75"/>
      <c r="E544" s="76"/>
      <c r="F544" s="75"/>
      <c r="G544" s="62"/>
      <c r="H544" s="63" t="str">
        <f t="shared" si="1"/>
        <v/>
      </c>
      <c r="I544" s="55"/>
    </row>
    <row r="545">
      <c r="A545" s="67"/>
      <c r="B545" s="73"/>
      <c r="C545" s="74"/>
      <c r="D545" s="75"/>
      <c r="E545" s="76"/>
      <c r="F545" s="75"/>
      <c r="G545" s="62"/>
      <c r="H545" s="63" t="str">
        <f t="shared" si="1"/>
        <v/>
      </c>
      <c r="I545" s="55"/>
    </row>
    <row r="546">
      <c r="A546" s="67"/>
      <c r="B546" s="73"/>
      <c r="C546" s="74"/>
      <c r="D546" s="75"/>
      <c r="E546" s="76"/>
      <c r="F546" s="75"/>
      <c r="G546" s="62"/>
      <c r="H546" s="63" t="str">
        <f t="shared" si="1"/>
        <v/>
      </c>
      <c r="I546" s="55"/>
    </row>
    <row r="547">
      <c r="A547" s="67"/>
      <c r="B547" s="73"/>
      <c r="C547" s="74"/>
      <c r="D547" s="75"/>
      <c r="E547" s="76"/>
      <c r="F547" s="75"/>
      <c r="G547" s="62"/>
      <c r="H547" s="63" t="str">
        <f t="shared" si="1"/>
        <v/>
      </c>
      <c r="I547" s="55"/>
    </row>
    <row r="548">
      <c r="A548" s="67"/>
      <c r="B548" s="73"/>
      <c r="C548" s="74"/>
      <c r="D548" s="75"/>
      <c r="E548" s="76"/>
      <c r="F548" s="75"/>
      <c r="G548" s="62"/>
      <c r="H548" s="63" t="str">
        <f t="shared" si="1"/>
        <v/>
      </c>
      <c r="I548" s="55"/>
    </row>
    <row r="549">
      <c r="A549" s="67"/>
      <c r="B549" s="73"/>
      <c r="C549" s="74"/>
      <c r="D549" s="75"/>
      <c r="E549" s="76"/>
      <c r="F549" s="75"/>
      <c r="G549" s="62"/>
      <c r="H549" s="63" t="str">
        <f t="shared" si="1"/>
        <v/>
      </c>
      <c r="I549" s="55"/>
    </row>
    <row r="550">
      <c r="A550" s="67"/>
      <c r="B550" s="73"/>
      <c r="C550" s="74"/>
      <c r="D550" s="75"/>
      <c r="E550" s="76"/>
      <c r="F550" s="75"/>
      <c r="G550" s="62"/>
      <c r="H550" s="63" t="str">
        <f t="shared" si="1"/>
        <v/>
      </c>
      <c r="I550" s="55"/>
    </row>
    <row r="551">
      <c r="A551" s="67"/>
      <c r="B551" s="73"/>
      <c r="C551" s="74"/>
      <c r="D551" s="75"/>
      <c r="E551" s="76"/>
      <c r="F551" s="75"/>
      <c r="G551" s="62"/>
      <c r="H551" s="63" t="str">
        <f t="shared" si="1"/>
        <v/>
      </c>
      <c r="I551" s="55"/>
    </row>
    <row r="552">
      <c r="A552" s="67"/>
      <c r="B552" s="73"/>
      <c r="C552" s="74"/>
      <c r="D552" s="75"/>
      <c r="E552" s="76"/>
      <c r="F552" s="75"/>
      <c r="G552" s="62"/>
      <c r="H552" s="63" t="str">
        <f t="shared" si="1"/>
        <v/>
      </c>
      <c r="I552" s="55"/>
    </row>
    <row r="553">
      <c r="A553" s="67"/>
      <c r="B553" s="73"/>
      <c r="C553" s="74"/>
      <c r="D553" s="75"/>
      <c r="E553" s="76"/>
      <c r="F553" s="75"/>
      <c r="G553" s="62"/>
      <c r="H553" s="63" t="str">
        <f t="shared" si="1"/>
        <v/>
      </c>
      <c r="I553" s="55"/>
    </row>
    <row r="554">
      <c r="A554" s="67"/>
      <c r="B554" s="73"/>
      <c r="C554" s="74"/>
      <c r="D554" s="75"/>
      <c r="E554" s="76"/>
      <c r="F554" s="75"/>
      <c r="G554" s="62"/>
      <c r="H554" s="63" t="str">
        <f t="shared" si="1"/>
        <v/>
      </c>
      <c r="I554" s="55"/>
    </row>
    <row r="555">
      <c r="A555" s="67"/>
      <c r="B555" s="73"/>
      <c r="C555" s="74"/>
      <c r="D555" s="75"/>
      <c r="E555" s="76"/>
      <c r="F555" s="75"/>
      <c r="G555" s="62"/>
      <c r="H555" s="63" t="str">
        <f t="shared" si="1"/>
        <v/>
      </c>
      <c r="I555" s="55"/>
    </row>
    <row r="556">
      <c r="A556" s="67"/>
      <c r="B556" s="73"/>
      <c r="C556" s="74"/>
      <c r="D556" s="75"/>
      <c r="E556" s="76"/>
      <c r="F556" s="75"/>
      <c r="G556" s="62"/>
      <c r="H556" s="63" t="str">
        <f t="shared" si="1"/>
        <v/>
      </c>
      <c r="I556" s="55"/>
    </row>
    <row r="557">
      <c r="A557" s="67"/>
      <c r="B557" s="73"/>
      <c r="C557" s="74"/>
      <c r="D557" s="75"/>
      <c r="E557" s="76"/>
      <c r="F557" s="75"/>
      <c r="G557" s="62"/>
      <c r="H557" s="63" t="str">
        <f t="shared" si="1"/>
        <v/>
      </c>
      <c r="I557" s="55"/>
    </row>
    <row r="558">
      <c r="A558" s="67"/>
      <c r="B558" s="73"/>
      <c r="C558" s="74"/>
      <c r="D558" s="75"/>
      <c r="E558" s="76"/>
      <c r="F558" s="75"/>
      <c r="G558" s="62"/>
      <c r="H558" s="63" t="str">
        <f t="shared" si="1"/>
        <v/>
      </c>
      <c r="I558" s="55"/>
    </row>
    <row r="559">
      <c r="A559" s="67"/>
      <c r="B559" s="73"/>
      <c r="C559" s="74"/>
      <c r="D559" s="75"/>
      <c r="E559" s="76"/>
      <c r="F559" s="75"/>
      <c r="G559" s="62"/>
      <c r="H559" s="63" t="str">
        <f t="shared" si="1"/>
        <v/>
      </c>
      <c r="I559" s="55"/>
    </row>
    <row r="560">
      <c r="A560" s="67"/>
      <c r="B560" s="73"/>
      <c r="C560" s="74"/>
      <c r="D560" s="75"/>
      <c r="E560" s="76"/>
      <c r="F560" s="75"/>
      <c r="G560" s="62"/>
      <c r="H560" s="63" t="str">
        <f t="shared" si="1"/>
        <v/>
      </c>
      <c r="I560" s="55"/>
    </row>
    <row r="561">
      <c r="A561" s="67"/>
      <c r="B561" s="73"/>
      <c r="C561" s="74"/>
      <c r="D561" s="75"/>
      <c r="E561" s="76"/>
      <c r="F561" s="75"/>
      <c r="G561" s="62"/>
      <c r="H561" s="63" t="str">
        <f t="shared" si="1"/>
        <v/>
      </c>
      <c r="I561" s="55"/>
    </row>
    <row r="562">
      <c r="A562" s="67"/>
      <c r="B562" s="73"/>
      <c r="C562" s="74"/>
      <c r="D562" s="75"/>
      <c r="E562" s="76"/>
      <c r="F562" s="75"/>
      <c r="G562" s="62"/>
      <c r="H562" s="63" t="str">
        <f t="shared" si="1"/>
        <v/>
      </c>
      <c r="I562" s="55"/>
    </row>
    <row r="563">
      <c r="A563" s="67"/>
      <c r="B563" s="73"/>
      <c r="C563" s="74"/>
      <c r="D563" s="75"/>
      <c r="E563" s="76"/>
      <c r="F563" s="75"/>
      <c r="G563" s="62"/>
      <c r="H563" s="63" t="str">
        <f t="shared" si="1"/>
        <v/>
      </c>
      <c r="I563" s="55"/>
    </row>
    <row r="564">
      <c r="A564" s="67"/>
      <c r="B564" s="73"/>
      <c r="C564" s="74"/>
      <c r="D564" s="75"/>
      <c r="E564" s="76"/>
      <c r="F564" s="75"/>
      <c r="G564" s="62"/>
      <c r="H564" s="63" t="str">
        <f t="shared" si="1"/>
        <v/>
      </c>
      <c r="I564" s="55"/>
    </row>
    <row r="565">
      <c r="A565" s="67"/>
      <c r="B565" s="73"/>
      <c r="C565" s="74"/>
      <c r="D565" s="75"/>
      <c r="E565" s="76"/>
      <c r="F565" s="75"/>
      <c r="G565" s="62"/>
      <c r="H565" s="63" t="str">
        <f t="shared" si="1"/>
        <v/>
      </c>
      <c r="I565" s="55"/>
    </row>
    <row r="566">
      <c r="A566" s="67"/>
      <c r="B566" s="73"/>
      <c r="C566" s="74"/>
      <c r="D566" s="75"/>
      <c r="E566" s="76"/>
      <c r="F566" s="75"/>
      <c r="G566" s="62"/>
      <c r="H566" s="63" t="str">
        <f t="shared" si="1"/>
        <v/>
      </c>
      <c r="I566" s="55"/>
    </row>
    <row r="567">
      <c r="A567" s="67"/>
      <c r="B567" s="73"/>
      <c r="C567" s="74"/>
      <c r="D567" s="75"/>
      <c r="E567" s="76"/>
      <c r="F567" s="75"/>
      <c r="G567" s="62"/>
      <c r="H567" s="63" t="str">
        <f t="shared" si="1"/>
        <v/>
      </c>
      <c r="I567" s="55"/>
    </row>
    <row r="568">
      <c r="A568" s="67"/>
      <c r="B568" s="73"/>
      <c r="C568" s="74"/>
      <c r="D568" s="75"/>
      <c r="E568" s="76"/>
      <c r="F568" s="75"/>
      <c r="G568" s="62"/>
      <c r="H568" s="63" t="str">
        <f t="shared" si="1"/>
        <v/>
      </c>
      <c r="I568" s="55"/>
    </row>
    <row r="569">
      <c r="A569" s="67"/>
      <c r="B569" s="73"/>
      <c r="C569" s="74"/>
      <c r="D569" s="75"/>
      <c r="E569" s="76"/>
      <c r="F569" s="75"/>
      <c r="G569" s="62"/>
      <c r="H569" s="63" t="str">
        <f t="shared" si="1"/>
        <v/>
      </c>
      <c r="I569" s="55"/>
    </row>
    <row r="570">
      <c r="A570" s="67"/>
      <c r="B570" s="73"/>
      <c r="C570" s="74"/>
      <c r="D570" s="75"/>
      <c r="E570" s="76"/>
      <c r="F570" s="75"/>
      <c r="G570" s="62"/>
      <c r="H570" s="63" t="str">
        <f t="shared" si="1"/>
        <v/>
      </c>
      <c r="I570" s="55"/>
    </row>
    <row r="571">
      <c r="A571" s="67"/>
      <c r="B571" s="73"/>
      <c r="C571" s="74"/>
      <c r="D571" s="75"/>
      <c r="E571" s="76"/>
      <c r="F571" s="75"/>
      <c r="G571" s="62"/>
      <c r="H571" s="63" t="str">
        <f t="shared" si="1"/>
        <v/>
      </c>
      <c r="I571" s="55"/>
    </row>
    <row r="572">
      <c r="A572" s="67"/>
      <c r="B572" s="73"/>
      <c r="C572" s="74"/>
      <c r="D572" s="75"/>
      <c r="E572" s="76"/>
      <c r="F572" s="75"/>
      <c r="G572" s="62"/>
      <c r="H572" s="63" t="str">
        <f t="shared" si="1"/>
        <v/>
      </c>
      <c r="I572" s="55"/>
    </row>
    <row r="573">
      <c r="A573" s="67"/>
      <c r="B573" s="73"/>
      <c r="C573" s="74"/>
      <c r="D573" s="75"/>
      <c r="E573" s="76"/>
      <c r="F573" s="75"/>
      <c r="G573" s="62"/>
      <c r="H573" s="63" t="str">
        <f t="shared" si="1"/>
        <v/>
      </c>
      <c r="I573" s="55"/>
    </row>
    <row r="574">
      <c r="A574" s="67"/>
      <c r="B574" s="73"/>
      <c r="C574" s="74"/>
      <c r="D574" s="75"/>
      <c r="E574" s="76"/>
      <c r="F574" s="75"/>
      <c r="G574" s="62"/>
      <c r="H574" s="63" t="str">
        <f t="shared" si="1"/>
        <v/>
      </c>
      <c r="I574" s="55"/>
    </row>
    <row r="575">
      <c r="A575" s="67"/>
      <c r="B575" s="73"/>
      <c r="C575" s="74"/>
      <c r="D575" s="75"/>
      <c r="E575" s="76"/>
      <c r="F575" s="75"/>
      <c r="G575" s="62"/>
      <c r="H575" s="63" t="str">
        <f t="shared" si="1"/>
        <v/>
      </c>
      <c r="I575" s="55"/>
    </row>
    <row r="576">
      <c r="A576" s="67"/>
      <c r="B576" s="73"/>
      <c r="C576" s="74"/>
      <c r="D576" s="75"/>
      <c r="E576" s="76"/>
      <c r="F576" s="75"/>
      <c r="G576" s="62"/>
      <c r="H576" s="63" t="str">
        <f t="shared" si="1"/>
        <v/>
      </c>
      <c r="I576" s="55"/>
    </row>
    <row r="577">
      <c r="A577" s="67"/>
      <c r="B577" s="73"/>
      <c r="C577" s="74"/>
      <c r="D577" s="75"/>
      <c r="E577" s="76"/>
      <c r="F577" s="75"/>
      <c r="G577" s="62"/>
      <c r="H577" s="63" t="str">
        <f t="shared" si="1"/>
        <v/>
      </c>
      <c r="I577" s="55"/>
    </row>
    <row r="578">
      <c r="A578" s="67"/>
      <c r="B578" s="73"/>
      <c r="C578" s="74"/>
      <c r="D578" s="75"/>
      <c r="E578" s="76"/>
      <c r="F578" s="75"/>
      <c r="G578" s="62"/>
      <c r="H578" s="63" t="str">
        <f t="shared" si="1"/>
        <v/>
      </c>
      <c r="I578" s="55"/>
    </row>
    <row r="579">
      <c r="A579" s="67"/>
      <c r="B579" s="73"/>
      <c r="C579" s="74"/>
      <c r="D579" s="75"/>
      <c r="E579" s="76"/>
      <c r="F579" s="75"/>
      <c r="G579" s="62"/>
      <c r="H579" s="63" t="str">
        <f t="shared" si="1"/>
        <v/>
      </c>
      <c r="I579" s="55"/>
    </row>
    <row r="580">
      <c r="A580" s="67"/>
      <c r="B580" s="73"/>
      <c r="C580" s="74"/>
      <c r="D580" s="75"/>
      <c r="E580" s="76"/>
      <c r="F580" s="75"/>
      <c r="G580" s="62"/>
      <c r="H580" s="63" t="str">
        <f t="shared" si="1"/>
        <v/>
      </c>
      <c r="I580" s="55"/>
    </row>
    <row r="581">
      <c r="A581" s="67"/>
      <c r="B581" s="73"/>
      <c r="C581" s="74"/>
      <c r="D581" s="75"/>
      <c r="E581" s="76"/>
      <c r="F581" s="75"/>
      <c r="G581" s="62"/>
      <c r="H581" s="63" t="str">
        <f t="shared" si="1"/>
        <v/>
      </c>
      <c r="I581" s="55"/>
    </row>
    <row r="582">
      <c r="A582" s="67"/>
      <c r="B582" s="73"/>
      <c r="C582" s="74"/>
      <c r="D582" s="75"/>
      <c r="E582" s="76"/>
      <c r="F582" s="75"/>
      <c r="G582" s="62"/>
      <c r="H582" s="63" t="str">
        <f t="shared" si="1"/>
        <v/>
      </c>
      <c r="I582" s="55"/>
    </row>
    <row r="583">
      <c r="A583" s="67"/>
      <c r="B583" s="73"/>
      <c r="C583" s="74"/>
      <c r="D583" s="75"/>
      <c r="E583" s="76"/>
      <c r="F583" s="75"/>
      <c r="G583" s="62"/>
      <c r="H583" s="63" t="str">
        <f t="shared" si="1"/>
        <v/>
      </c>
      <c r="I583" s="55"/>
    </row>
    <row r="584">
      <c r="A584" s="67"/>
      <c r="B584" s="73"/>
      <c r="C584" s="74"/>
      <c r="D584" s="75"/>
      <c r="E584" s="76"/>
      <c r="F584" s="75"/>
      <c r="G584" s="62"/>
      <c r="H584" s="63" t="str">
        <f t="shared" si="1"/>
        <v/>
      </c>
      <c r="I584" s="55"/>
    </row>
    <row r="585">
      <c r="A585" s="67"/>
      <c r="B585" s="73"/>
      <c r="C585" s="74"/>
      <c r="D585" s="75"/>
      <c r="E585" s="76"/>
      <c r="F585" s="75"/>
      <c r="G585" s="62"/>
      <c r="H585" s="63" t="str">
        <f t="shared" si="1"/>
        <v/>
      </c>
      <c r="I585" s="55"/>
    </row>
    <row r="586">
      <c r="A586" s="67"/>
      <c r="B586" s="73"/>
      <c r="C586" s="74"/>
      <c r="D586" s="75"/>
      <c r="E586" s="76"/>
      <c r="F586" s="75"/>
      <c r="G586" s="62"/>
      <c r="H586" s="63" t="str">
        <f t="shared" si="1"/>
        <v/>
      </c>
      <c r="I586" s="55"/>
    </row>
    <row r="587">
      <c r="A587" s="67"/>
      <c r="B587" s="73"/>
      <c r="C587" s="74"/>
      <c r="D587" s="75"/>
      <c r="E587" s="76"/>
      <c r="F587" s="75"/>
      <c r="G587" s="62"/>
      <c r="H587" s="63" t="str">
        <f t="shared" si="1"/>
        <v/>
      </c>
      <c r="I587" s="55"/>
    </row>
    <row r="588">
      <c r="A588" s="67"/>
      <c r="B588" s="73"/>
      <c r="C588" s="74"/>
      <c r="D588" s="75"/>
      <c r="E588" s="76"/>
      <c r="F588" s="75"/>
      <c r="G588" s="62"/>
      <c r="H588" s="63" t="str">
        <f t="shared" si="1"/>
        <v/>
      </c>
      <c r="I588" s="55"/>
    </row>
    <row r="589">
      <c r="A589" s="67"/>
      <c r="B589" s="73"/>
      <c r="C589" s="74"/>
      <c r="D589" s="75"/>
      <c r="E589" s="76"/>
      <c r="F589" s="75"/>
      <c r="G589" s="62"/>
      <c r="H589" s="63" t="str">
        <f t="shared" si="1"/>
        <v/>
      </c>
      <c r="I589" s="55"/>
    </row>
    <row r="590">
      <c r="A590" s="67"/>
      <c r="B590" s="73"/>
      <c r="C590" s="74"/>
      <c r="D590" s="75"/>
      <c r="E590" s="76"/>
      <c r="F590" s="75"/>
      <c r="G590" s="62"/>
      <c r="H590" s="63" t="str">
        <f t="shared" si="1"/>
        <v/>
      </c>
      <c r="I590" s="55"/>
    </row>
    <row r="591">
      <c r="A591" s="67"/>
      <c r="B591" s="73"/>
      <c r="C591" s="74"/>
      <c r="D591" s="75"/>
      <c r="E591" s="76"/>
      <c r="F591" s="75"/>
      <c r="G591" s="62"/>
      <c r="H591" s="63" t="str">
        <f t="shared" si="1"/>
        <v/>
      </c>
      <c r="I591" s="55"/>
    </row>
    <row r="592">
      <c r="A592" s="67"/>
      <c r="B592" s="73"/>
      <c r="C592" s="74"/>
      <c r="D592" s="75"/>
      <c r="E592" s="76"/>
      <c r="F592" s="75"/>
      <c r="G592" s="62"/>
      <c r="H592" s="63" t="str">
        <f t="shared" si="1"/>
        <v/>
      </c>
      <c r="I592" s="55"/>
    </row>
    <row r="593">
      <c r="A593" s="67"/>
      <c r="B593" s="73"/>
      <c r="C593" s="74"/>
      <c r="D593" s="75"/>
      <c r="E593" s="76"/>
      <c r="F593" s="75"/>
      <c r="G593" s="62"/>
      <c r="H593" s="63" t="str">
        <f t="shared" si="1"/>
        <v/>
      </c>
      <c r="I593" s="55"/>
    </row>
    <row r="594">
      <c r="A594" s="67"/>
      <c r="B594" s="73"/>
      <c r="C594" s="74"/>
      <c r="D594" s="75"/>
      <c r="E594" s="76"/>
      <c r="F594" s="75"/>
      <c r="G594" s="62"/>
      <c r="H594" s="63" t="str">
        <f t="shared" si="1"/>
        <v/>
      </c>
      <c r="I594" s="55"/>
    </row>
    <row r="595">
      <c r="A595" s="67"/>
      <c r="B595" s="73"/>
      <c r="C595" s="74"/>
      <c r="D595" s="75"/>
      <c r="E595" s="76"/>
      <c r="F595" s="75"/>
      <c r="G595" s="62"/>
      <c r="H595" s="63" t="str">
        <f t="shared" si="1"/>
        <v/>
      </c>
      <c r="I595" s="55"/>
    </row>
    <row r="596">
      <c r="A596" s="67"/>
      <c r="B596" s="73"/>
      <c r="C596" s="74"/>
      <c r="D596" s="75"/>
      <c r="E596" s="76"/>
      <c r="F596" s="75"/>
      <c r="G596" s="62"/>
      <c r="H596" s="63" t="str">
        <f t="shared" si="1"/>
        <v/>
      </c>
      <c r="I596" s="55"/>
    </row>
    <row r="597">
      <c r="A597" s="67"/>
      <c r="B597" s="73"/>
      <c r="C597" s="74"/>
      <c r="D597" s="75"/>
      <c r="E597" s="76"/>
      <c r="F597" s="75"/>
      <c r="G597" s="62"/>
      <c r="H597" s="63" t="str">
        <f t="shared" si="1"/>
        <v/>
      </c>
      <c r="I597" s="55"/>
    </row>
    <row r="598">
      <c r="A598" s="67"/>
      <c r="B598" s="73"/>
      <c r="C598" s="74"/>
      <c r="D598" s="75"/>
      <c r="E598" s="76"/>
      <c r="F598" s="75"/>
      <c r="G598" s="62"/>
      <c r="H598" s="63" t="str">
        <f t="shared" si="1"/>
        <v/>
      </c>
      <c r="I598" s="55"/>
    </row>
    <row r="599">
      <c r="A599" s="67"/>
      <c r="B599" s="73"/>
      <c r="C599" s="74"/>
      <c r="D599" s="75"/>
      <c r="E599" s="76"/>
      <c r="F599" s="75"/>
      <c r="G599" s="62"/>
      <c r="H599" s="63" t="str">
        <f t="shared" si="1"/>
        <v/>
      </c>
      <c r="I599" s="55"/>
    </row>
    <row r="600">
      <c r="A600" s="67"/>
      <c r="B600" s="73"/>
      <c r="C600" s="74"/>
      <c r="D600" s="75"/>
      <c r="E600" s="76"/>
      <c r="F600" s="75"/>
      <c r="G600" s="62"/>
      <c r="H600" s="63" t="str">
        <f t="shared" si="1"/>
        <v/>
      </c>
      <c r="I600" s="55"/>
    </row>
    <row r="601">
      <c r="A601" s="67"/>
      <c r="B601" s="73"/>
      <c r="C601" s="74"/>
      <c r="D601" s="75"/>
      <c r="E601" s="76"/>
      <c r="F601" s="75"/>
      <c r="G601" s="62"/>
      <c r="H601" s="63" t="str">
        <f t="shared" si="1"/>
        <v/>
      </c>
      <c r="I601" s="55"/>
    </row>
    <row r="602">
      <c r="A602" s="67"/>
      <c r="B602" s="73"/>
      <c r="C602" s="74"/>
      <c r="D602" s="75"/>
      <c r="E602" s="76"/>
      <c r="F602" s="75"/>
      <c r="G602" s="62"/>
      <c r="H602" s="63" t="str">
        <f t="shared" si="1"/>
        <v/>
      </c>
      <c r="I602" s="55"/>
    </row>
    <row r="603">
      <c r="A603" s="67"/>
      <c r="B603" s="73"/>
      <c r="C603" s="74"/>
      <c r="D603" s="75"/>
      <c r="E603" s="76"/>
      <c r="F603" s="75"/>
      <c r="G603" s="62"/>
      <c r="H603" s="63" t="str">
        <f t="shared" si="1"/>
        <v/>
      </c>
      <c r="I603" s="55"/>
    </row>
    <row r="604">
      <c r="A604" s="67"/>
      <c r="B604" s="73"/>
      <c r="C604" s="74"/>
      <c r="D604" s="75"/>
      <c r="E604" s="76"/>
      <c r="F604" s="75"/>
      <c r="G604" s="62"/>
      <c r="H604" s="63" t="str">
        <f t="shared" si="1"/>
        <v/>
      </c>
      <c r="I604" s="55"/>
    </row>
    <row r="605">
      <c r="A605" s="67"/>
      <c r="B605" s="73"/>
      <c r="C605" s="74"/>
      <c r="D605" s="75"/>
      <c r="E605" s="76"/>
      <c r="F605" s="75"/>
      <c r="G605" s="62"/>
      <c r="H605" s="63" t="str">
        <f t="shared" si="1"/>
        <v/>
      </c>
      <c r="I605" s="55"/>
    </row>
    <row r="606">
      <c r="A606" s="67"/>
      <c r="B606" s="73"/>
      <c r="C606" s="74"/>
      <c r="D606" s="75"/>
      <c r="E606" s="76"/>
      <c r="F606" s="75"/>
      <c r="G606" s="62"/>
      <c r="H606" s="63" t="str">
        <f t="shared" si="1"/>
        <v/>
      </c>
      <c r="I606" s="55"/>
    </row>
    <row r="607">
      <c r="A607" s="67"/>
      <c r="B607" s="73"/>
      <c r="C607" s="74"/>
      <c r="D607" s="75"/>
      <c r="E607" s="76"/>
      <c r="F607" s="75"/>
      <c r="G607" s="62"/>
      <c r="H607" s="63" t="str">
        <f t="shared" si="1"/>
        <v/>
      </c>
      <c r="I607" s="55"/>
    </row>
    <row r="608">
      <c r="A608" s="67"/>
      <c r="B608" s="73"/>
      <c r="C608" s="74"/>
      <c r="D608" s="75"/>
      <c r="E608" s="76"/>
      <c r="F608" s="75"/>
      <c r="G608" s="62"/>
      <c r="H608" s="63" t="str">
        <f t="shared" si="1"/>
        <v/>
      </c>
      <c r="I608" s="55"/>
    </row>
    <row r="609">
      <c r="A609" s="67"/>
      <c r="B609" s="73"/>
      <c r="C609" s="74"/>
      <c r="D609" s="75"/>
      <c r="E609" s="76"/>
      <c r="F609" s="75"/>
      <c r="G609" s="62"/>
      <c r="H609" s="63" t="str">
        <f t="shared" si="1"/>
        <v/>
      </c>
      <c r="I609" s="55"/>
    </row>
    <row r="610">
      <c r="A610" s="67"/>
      <c r="B610" s="73"/>
      <c r="C610" s="74"/>
      <c r="D610" s="75"/>
      <c r="E610" s="76"/>
      <c r="F610" s="75"/>
      <c r="G610" s="62"/>
      <c r="H610" s="63" t="str">
        <f t="shared" si="1"/>
        <v/>
      </c>
      <c r="I610" s="55"/>
    </row>
    <row r="611">
      <c r="A611" s="67"/>
      <c r="B611" s="73"/>
      <c r="C611" s="74"/>
      <c r="D611" s="75"/>
      <c r="E611" s="76"/>
      <c r="F611" s="75"/>
      <c r="G611" s="62"/>
      <c r="H611" s="63" t="str">
        <f t="shared" si="1"/>
        <v/>
      </c>
      <c r="I611" s="55"/>
    </row>
    <row r="612">
      <c r="A612" s="67"/>
      <c r="B612" s="73"/>
      <c r="C612" s="74"/>
      <c r="D612" s="75"/>
      <c r="E612" s="76"/>
      <c r="F612" s="75"/>
      <c r="G612" s="62"/>
      <c r="H612" s="63" t="str">
        <f t="shared" si="1"/>
        <v/>
      </c>
      <c r="I612" s="55"/>
    </row>
    <row r="613">
      <c r="A613" s="67"/>
      <c r="B613" s="73"/>
      <c r="C613" s="74"/>
      <c r="D613" s="75"/>
      <c r="E613" s="76"/>
      <c r="F613" s="75"/>
      <c r="G613" s="62"/>
      <c r="H613" s="63" t="str">
        <f t="shared" si="1"/>
        <v/>
      </c>
      <c r="I613" s="55"/>
    </row>
    <row r="614">
      <c r="A614" s="67"/>
      <c r="B614" s="73"/>
      <c r="C614" s="74"/>
      <c r="D614" s="75"/>
      <c r="E614" s="76"/>
      <c r="F614" s="75"/>
      <c r="G614" s="62"/>
      <c r="H614" s="63" t="str">
        <f t="shared" si="1"/>
        <v/>
      </c>
      <c r="I614" s="55"/>
    </row>
    <row r="615">
      <c r="A615" s="67"/>
      <c r="B615" s="73"/>
      <c r="C615" s="74"/>
      <c r="D615" s="75"/>
      <c r="E615" s="76"/>
      <c r="F615" s="75"/>
      <c r="G615" s="62"/>
      <c r="H615" s="63" t="str">
        <f t="shared" si="1"/>
        <v/>
      </c>
      <c r="I615" s="55"/>
    </row>
    <row r="616">
      <c r="A616" s="67"/>
      <c r="B616" s="73"/>
      <c r="C616" s="74"/>
      <c r="D616" s="75"/>
      <c r="E616" s="76"/>
      <c r="F616" s="75"/>
      <c r="G616" s="62"/>
      <c r="H616" s="63" t="str">
        <f t="shared" si="1"/>
        <v/>
      </c>
      <c r="I616" s="55"/>
    </row>
    <row r="617">
      <c r="A617" s="67"/>
      <c r="B617" s="73"/>
      <c r="C617" s="74"/>
      <c r="D617" s="75"/>
      <c r="E617" s="76"/>
      <c r="F617" s="75"/>
      <c r="G617" s="62"/>
      <c r="H617" s="63" t="str">
        <f t="shared" si="1"/>
        <v/>
      </c>
      <c r="I617" s="55"/>
    </row>
    <row r="618">
      <c r="A618" s="67"/>
      <c r="B618" s="73"/>
      <c r="C618" s="74"/>
      <c r="D618" s="75"/>
      <c r="E618" s="76"/>
      <c r="F618" s="75"/>
      <c r="G618" s="62"/>
      <c r="H618" s="63" t="str">
        <f t="shared" si="1"/>
        <v/>
      </c>
      <c r="I618" s="55"/>
    </row>
    <row r="619">
      <c r="A619" s="67"/>
      <c r="B619" s="73"/>
      <c r="C619" s="74"/>
      <c r="D619" s="75"/>
      <c r="E619" s="76"/>
      <c r="F619" s="75"/>
      <c r="G619" s="62"/>
      <c r="H619" s="63" t="str">
        <f t="shared" si="1"/>
        <v/>
      </c>
      <c r="I619" s="55"/>
    </row>
    <row r="620">
      <c r="A620" s="67"/>
      <c r="B620" s="73"/>
      <c r="C620" s="74"/>
      <c r="D620" s="75"/>
      <c r="E620" s="76"/>
      <c r="F620" s="75"/>
      <c r="G620" s="62"/>
      <c r="H620" s="63" t="str">
        <f t="shared" si="1"/>
        <v/>
      </c>
      <c r="I620" s="55"/>
    </row>
    <row r="621">
      <c r="A621" s="67"/>
      <c r="B621" s="73"/>
      <c r="C621" s="74"/>
      <c r="D621" s="75"/>
      <c r="E621" s="76"/>
      <c r="F621" s="75"/>
      <c r="G621" s="62"/>
      <c r="H621" s="63" t="str">
        <f t="shared" si="1"/>
        <v/>
      </c>
      <c r="I621" s="55"/>
    </row>
    <row r="622">
      <c r="A622" s="67"/>
      <c r="B622" s="73"/>
      <c r="C622" s="74"/>
      <c r="D622" s="75"/>
      <c r="E622" s="76"/>
      <c r="F622" s="75"/>
      <c r="G622" s="62"/>
      <c r="H622" s="63" t="str">
        <f t="shared" si="1"/>
        <v/>
      </c>
      <c r="I622" s="55"/>
    </row>
    <row r="623">
      <c r="A623" s="67"/>
      <c r="B623" s="73"/>
      <c r="C623" s="74"/>
      <c r="D623" s="75"/>
      <c r="E623" s="76"/>
      <c r="F623" s="75"/>
      <c r="G623" s="62"/>
      <c r="H623" s="63" t="str">
        <f t="shared" si="1"/>
        <v/>
      </c>
      <c r="I623" s="55"/>
    </row>
    <row r="624">
      <c r="A624" s="67"/>
      <c r="B624" s="73"/>
      <c r="C624" s="74"/>
      <c r="D624" s="75"/>
      <c r="E624" s="76"/>
      <c r="F624" s="75"/>
      <c r="G624" s="62"/>
      <c r="H624" s="63" t="str">
        <f t="shared" si="1"/>
        <v/>
      </c>
      <c r="I624" s="55"/>
    </row>
    <row r="625">
      <c r="A625" s="67"/>
      <c r="B625" s="73"/>
      <c r="C625" s="74"/>
      <c r="D625" s="75"/>
      <c r="E625" s="76"/>
      <c r="F625" s="75"/>
      <c r="G625" s="62"/>
      <c r="H625" s="63" t="str">
        <f t="shared" si="1"/>
        <v/>
      </c>
      <c r="I625" s="55"/>
    </row>
    <row r="626">
      <c r="A626" s="67"/>
      <c r="B626" s="73"/>
      <c r="C626" s="74"/>
      <c r="D626" s="75"/>
      <c r="E626" s="76"/>
      <c r="F626" s="75"/>
      <c r="G626" s="62"/>
      <c r="H626" s="63" t="str">
        <f t="shared" si="1"/>
        <v/>
      </c>
      <c r="I626" s="55"/>
    </row>
    <row r="627">
      <c r="A627" s="67"/>
      <c r="B627" s="73"/>
      <c r="C627" s="74"/>
      <c r="D627" s="75"/>
      <c r="E627" s="76"/>
      <c r="F627" s="75"/>
      <c r="G627" s="62"/>
      <c r="H627" s="63" t="str">
        <f t="shared" si="1"/>
        <v/>
      </c>
      <c r="I627" s="55"/>
    </row>
    <row r="628">
      <c r="A628" s="67"/>
      <c r="B628" s="73"/>
      <c r="C628" s="74"/>
      <c r="D628" s="75"/>
      <c r="E628" s="76"/>
      <c r="F628" s="75"/>
      <c r="G628" s="62"/>
      <c r="H628" s="63" t="str">
        <f t="shared" si="1"/>
        <v/>
      </c>
      <c r="I628" s="55"/>
    </row>
    <row r="629">
      <c r="A629" s="67"/>
      <c r="B629" s="73"/>
      <c r="C629" s="74"/>
      <c r="D629" s="75"/>
      <c r="E629" s="76"/>
      <c r="F629" s="75"/>
      <c r="G629" s="62"/>
      <c r="H629" s="63" t="str">
        <f t="shared" si="1"/>
        <v/>
      </c>
      <c r="I629" s="55"/>
    </row>
    <row r="630">
      <c r="A630" s="67"/>
      <c r="B630" s="73"/>
      <c r="C630" s="74"/>
      <c r="D630" s="75"/>
      <c r="E630" s="76"/>
      <c r="F630" s="75"/>
      <c r="G630" s="62"/>
      <c r="H630" s="63" t="str">
        <f t="shared" si="1"/>
        <v/>
      </c>
      <c r="I630" s="55"/>
    </row>
    <row r="631">
      <c r="A631" s="67"/>
      <c r="B631" s="73"/>
      <c r="C631" s="74"/>
      <c r="D631" s="75"/>
      <c r="E631" s="76"/>
      <c r="F631" s="75"/>
      <c r="G631" s="62"/>
      <c r="H631" s="63" t="str">
        <f t="shared" si="1"/>
        <v/>
      </c>
      <c r="I631" s="55"/>
    </row>
    <row r="632">
      <c r="A632" s="67"/>
      <c r="B632" s="73"/>
      <c r="C632" s="74"/>
      <c r="D632" s="75"/>
      <c r="E632" s="76"/>
      <c r="F632" s="75"/>
      <c r="G632" s="62"/>
      <c r="H632" s="63" t="str">
        <f t="shared" si="1"/>
        <v/>
      </c>
      <c r="I632" s="55"/>
    </row>
    <row r="633">
      <c r="A633" s="67"/>
      <c r="B633" s="73"/>
      <c r="C633" s="74"/>
      <c r="D633" s="75"/>
      <c r="E633" s="76"/>
      <c r="F633" s="75"/>
      <c r="G633" s="62"/>
      <c r="H633" s="63" t="str">
        <f t="shared" si="1"/>
        <v/>
      </c>
      <c r="I633" s="55"/>
    </row>
    <row r="634">
      <c r="A634" s="67"/>
      <c r="B634" s="73"/>
      <c r="C634" s="74"/>
      <c r="D634" s="75"/>
      <c r="E634" s="76"/>
      <c r="F634" s="75"/>
      <c r="G634" s="62"/>
      <c r="H634" s="63" t="str">
        <f t="shared" si="1"/>
        <v/>
      </c>
      <c r="I634" s="55"/>
    </row>
    <row r="635">
      <c r="A635" s="67"/>
      <c r="B635" s="73"/>
      <c r="C635" s="74"/>
      <c r="D635" s="75"/>
      <c r="E635" s="76"/>
      <c r="F635" s="75"/>
      <c r="G635" s="62"/>
      <c r="H635" s="63" t="str">
        <f t="shared" si="1"/>
        <v/>
      </c>
      <c r="I635" s="55"/>
    </row>
    <row r="636">
      <c r="A636" s="67"/>
      <c r="B636" s="73"/>
      <c r="C636" s="74"/>
      <c r="D636" s="75"/>
      <c r="E636" s="76"/>
      <c r="F636" s="75"/>
      <c r="G636" s="62"/>
      <c r="H636" s="63" t="str">
        <f t="shared" si="1"/>
        <v/>
      </c>
      <c r="I636" s="55"/>
    </row>
    <row r="637">
      <c r="A637" s="67"/>
      <c r="B637" s="73"/>
      <c r="C637" s="74"/>
      <c r="D637" s="75"/>
      <c r="E637" s="76"/>
      <c r="F637" s="75"/>
      <c r="G637" s="62"/>
      <c r="H637" s="63" t="str">
        <f t="shared" si="1"/>
        <v/>
      </c>
      <c r="I637" s="55"/>
    </row>
    <row r="638">
      <c r="A638" s="67"/>
      <c r="B638" s="73"/>
      <c r="C638" s="74"/>
      <c r="D638" s="75"/>
      <c r="E638" s="76"/>
      <c r="F638" s="75"/>
      <c r="G638" s="62"/>
      <c r="H638" s="63" t="str">
        <f t="shared" si="1"/>
        <v/>
      </c>
      <c r="I638" s="55"/>
    </row>
    <row r="639">
      <c r="A639" s="67"/>
      <c r="B639" s="73"/>
      <c r="C639" s="74"/>
      <c r="D639" s="75"/>
      <c r="E639" s="76"/>
      <c r="F639" s="75"/>
      <c r="G639" s="62"/>
      <c r="H639" s="63" t="str">
        <f t="shared" si="1"/>
        <v/>
      </c>
      <c r="I639" s="55"/>
    </row>
    <row r="640">
      <c r="A640" s="67"/>
      <c r="B640" s="73"/>
      <c r="C640" s="74"/>
      <c r="D640" s="75"/>
      <c r="E640" s="76"/>
      <c r="F640" s="75"/>
      <c r="G640" s="62"/>
      <c r="H640" s="63" t="str">
        <f t="shared" si="1"/>
        <v/>
      </c>
      <c r="I640" s="55"/>
    </row>
    <row r="641">
      <c r="A641" s="67"/>
      <c r="B641" s="73"/>
      <c r="C641" s="74"/>
      <c r="D641" s="75"/>
      <c r="E641" s="76"/>
      <c r="F641" s="75"/>
      <c r="G641" s="62"/>
      <c r="H641" s="63" t="str">
        <f t="shared" si="1"/>
        <v/>
      </c>
      <c r="I641" s="55"/>
    </row>
    <row r="642">
      <c r="A642" s="67"/>
      <c r="B642" s="73"/>
      <c r="C642" s="74"/>
      <c r="D642" s="75"/>
      <c r="E642" s="76"/>
      <c r="F642" s="75"/>
      <c r="G642" s="62"/>
      <c r="H642" s="63" t="str">
        <f t="shared" si="1"/>
        <v/>
      </c>
      <c r="I642" s="55"/>
    </row>
    <row r="643">
      <c r="A643" s="67"/>
      <c r="B643" s="73"/>
      <c r="C643" s="74"/>
      <c r="D643" s="75"/>
      <c r="E643" s="76"/>
      <c r="F643" s="75"/>
      <c r="G643" s="62"/>
      <c r="H643" s="63" t="str">
        <f t="shared" si="1"/>
        <v/>
      </c>
      <c r="I643" s="55"/>
    </row>
    <row r="644">
      <c r="A644" s="67"/>
      <c r="B644" s="73"/>
      <c r="C644" s="74"/>
      <c r="D644" s="75"/>
      <c r="E644" s="76"/>
      <c r="F644" s="75"/>
      <c r="G644" s="62"/>
      <c r="H644" s="63" t="str">
        <f t="shared" si="1"/>
        <v/>
      </c>
      <c r="I644" s="55"/>
    </row>
    <row r="645">
      <c r="A645" s="67"/>
      <c r="B645" s="73"/>
      <c r="C645" s="74"/>
      <c r="D645" s="75"/>
      <c r="E645" s="76"/>
      <c r="F645" s="75"/>
      <c r="G645" s="62"/>
      <c r="H645" s="63" t="str">
        <f t="shared" si="1"/>
        <v/>
      </c>
      <c r="I645" s="55"/>
    </row>
    <row r="646">
      <c r="A646" s="67"/>
      <c r="B646" s="73"/>
      <c r="C646" s="74"/>
      <c r="D646" s="75"/>
      <c r="E646" s="76"/>
      <c r="F646" s="75"/>
      <c r="G646" s="62"/>
      <c r="H646" s="63" t="str">
        <f t="shared" si="1"/>
        <v/>
      </c>
      <c r="I646" s="55"/>
    </row>
    <row r="647">
      <c r="A647" s="67"/>
      <c r="B647" s="73"/>
      <c r="C647" s="74"/>
      <c r="D647" s="75"/>
      <c r="E647" s="76"/>
      <c r="F647" s="75"/>
      <c r="G647" s="62"/>
      <c r="H647" s="63" t="str">
        <f t="shared" si="1"/>
        <v/>
      </c>
      <c r="I647" s="55"/>
    </row>
    <row r="648">
      <c r="A648" s="67"/>
      <c r="B648" s="73"/>
      <c r="C648" s="74"/>
      <c r="D648" s="75"/>
      <c r="E648" s="76"/>
      <c r="F648" s="75"/>
      <c r="G648" s="62"/>
      <c r="H648" s="63" t="str">
        <f t="shared" si="1"/>
        <v/>
      </c>
      <c r="I648" s="55"/>
    </row>
    <row r="649">
      <c r="A649" s="67"/>
      <c r="B649" s="73"/>
      <c r="C649" s="74"/>
      <c r="D649" s="75"/>
      <c r="E649" s="76"/>
      <c r="F649" s="75"/>
      <c r="G649" s="62"/>
      <c r="H649" s="63" t="str">
        <f t="shared" si="1"/>
        <v/>
      </c>
      <c r="I649" s="55"/>
    </row>
    <row r="650">
      <c r="A650" s="67"/>
      <c r="B650" s="73"/>
      <c r="C650" s="74"/>
      <c r="D650" s="75"/>
      <c r="E650" s="76"/>
      <c r="F650" s="75"/>
      <c r="G650" s="62"/>
      <c r="H650" s="63" t="str">
        <f t="shared" si="1"/>
        <v/>
      </c>
      <c r="I650" s="55"/>
    </row>
    <row r="651">
      <c r="A651" s="67"/>
      <c r="B651" s="73"/>
      <c r="C651" s="74"/>
      <c r="D651" s="75"/>
      <c r="E651" s="76"/>
      <c r="F651" s="75"/>
      <c r="G651" s="62"/>
      <c r="H651" s="63" t="str">
        <f t="shared" si="1"/>
        <v/>
      </c>
      <c r="I651" s="55"/>
    </row>
    <row r="652">
      <c r="A652" s="67"/>
      <c r="B652" s="73"/>
      <c r="C652" s="74"/>
      <c r="D652" s="75"/>
      <c r="E652" s="76"/>
      <c r="F652" s="75"/>
      <c r="G652" s="62"/>
      <c r="H652" s="63" t="str">
        <f t="shared" si="1"/>
        <v/>
      </c>
      <c r="I652" s="55"/>
    </row>
    <row r="653">
      <c r="A653" s="67"/>
      <c r="B653" s="73"/>
      <c r="C653" s="74"/>
      <c r="D653" s="75"/>
      <c r="E653" s="76"/>
      <c r="F653" s="75"/>
      <c r="G653" s="62"/>
      <c r="H653" s="63" t="str">
        <f t="shared" si="1"/>
        <v/>
      </c>
      <c r="I653" s="55"/>
    </row>
    <row r="654">
      <c r="A654" s="67"/>
      <c r="B654" s="73"/>
      <c r="C654" s="74"/>
      <c r="D654" s="75"/>
      <c r="E654" s="76"/>
      <c r="F654" s="75"/>
      <c r="G654" s="62"/>
      <c r="H654" s="63" t="str">
        <f t="shared" si="1"/>
        <v/>
      </c>
      <c r="I654" s="55"/>
    </row>
    <row r="655">
      <c r="A655" s="67"/>
      <c r="B655" s="73"/>
      <c r="C655" s="74"/>
      <c r="D655" s="75"/>
      <c r="E655" s="76"/>
      <c r="F655" s="75"/>
      <c r="G655" s="62"/>
      <c r="H655" s="63" t="str">
        <f t="shared" si="1"/>
        <v/>
      </c>
      <c r="I655" s="55"/>
    </row>
    <row r="656">
      <c r="A656" s="67"/>
      <c r="B656" s="73"/>
      <c r="C656" s="74"/>
      <c r="D656" s="75"/>
      <c r="E656" s="76"/>
      <c r="F656" s="75"/>
      <c r="G656" s="62"/>
      <c r="H656" s="63" t="str">
        <f t="shared" si="1"/>
        <v/>
      </c>
      <c r="I656" s="55"/>
    </row>
    <row r="657">
      <c r="A657" s="67"/>
      <c r="B657" s="73"/>
      <c r="C657" s="74"/>
      <c r="D657" s="75"/>
      <c r="E657" s="76"/>
      <c r="F657" s="75"/>
      <c r="G657" s="62"/>
      <c r="H657" s="63" t="str">
        <f t="shared" si="1"/>
        <v/>
      </c>
      <c r="I657" s="55"/>
    </row>
    <row r="658">
      <c r="A658" s="67"/>
      <c r="B658" s="73"/>
      <c r="C658" s="74"/>
      <c r="D658" s="75"/>
      <c r="E658" s="76"/>
      <c r="F658" s="75"/>
      <c r="G658" s="62"/>
      <c r="H658" s="63" t="str">
        <f t="shared" si="1"/>
        <v/>
      </c>
      <c r="I658" s="55"/>
    </row>
    <row r="659">
      <c r="A659" s="67"/>
      <c r="B659" s="73"/>
      <c r="C659" s="74"/>
      <c r="D659" s="75"/>
      <c r="E659" s="76"/>
      <c r="F659" s="75"/>
      <c r="G659" s="62"/>
      <c r="H659" s="63" t="str">
        <f t="shared" si="1"/>
        <v/>
      </c>
      <c r="I659" s="55"/>
    </row>
    <row r="660">
      <c r="A660" s="67"/>
      <c r="B660" s="73"/>
      <c r="C660" s="74"/>
      <c r="D660" s="75"/>
      <c r="E660" s="76"/>
      <c r="F660" s="75"/>
      <c r="G660" s="62"/>
      <c r="H660" s="63" t="str">
        <f t="shared" si="1"/>
        <v/>
      </c>
      <c r="I660" s="55"/>
    </row>
    <row r="661">
      <c r="A661" s="67"/>
      <c r="B661" s="73"/>
      <c r="C661" s="74"/>
      <c r="D661" s="75"/>
      <c r="E661" s="76"/>
      <c r="F661" s="75"/>
      <c r="G661" s="62"/>
      <c r="H661" s="63" t="str">
        <f t="shared" si="1"/>
        <v/>
      </c>
      <c r="I661" s="55"/>
    </row>
    <row r="662">
      <c r="A662" s="67"/>
      <c r="B662" s="73"/>
      <c r="C662" s="74"/>
      <c r="D662" s="75"/>
      <c r="E662" s="76"/>
      <c r="F662" s="75"/>
      <c r="G662" s="62"/>
      <c r="H662" s="63" t="str">
        <f t="shared" si="1"/>
        <v/>
      </c>
      <c r="I662" s="55"/>
    </row>
    <row r="663">
      <c r="A663" s="67"/>
      <c r="B663" s="73"/>
      <c r="C663" s="74"/>
      <c r="D663" s="75"/>
      <c r="E663" s="76"/>
      <c r="F663" s="75"/>
      <c r="G663" s="62"/>
      <c r="H663" s="63" t="str">
        <f t="shared" si="1"/>
        <v/>
      </c>
      <c r="I663" s="55"/>
    </row>
    <row r="664">
      <c r="A664" s="67"/>
      <c r="B664" s="73"/>
      <c r="C664" s="74"/>
      <c r="D664" s="75"/>
      <c r="E664" s="76"/>
      <c r="F664" s="75"/>
      <c r="G664" s="62"/>
      <c r="H664" s="63" t="str">
        <f t="shared" si="1"/>
        <v/>
      </c>
      <c r="I664" s="55"/>
    </row>
    <row r="665">
      <c r="A665" s="67"/>
      <c r="B665" s="73"/>
      <c r="C665" s="74"/>
      <c r="D665" s="75"/>
      <c r="E665" s="76"/>
      <c r="F665" s="75"/>
      <c r="G665" s="62"/>
      <c r="H665" s="63" t="str">
        <f t="shared" si="1"/>
        <v/>
      </c>
      <c r="I665" s="55"/>
    </row>
    <row r="666">
      <c r="A666" s="67"/>
      <c r="B666" s="73"/>
      <c r="C666" s="74"/>
      <c r="D666" s="75"/>
      <c r="E666" s="76"/>
      <c r="F666" s="75"/>
      <c r="G666" s="62"/>
      <c r="H666" s="63" t="str">
        <f t="shared" si="1"/>
        <v/>
      </c>
      <c r="I666" s="55"/>
    </row>
    <row r="667">
      <c r="A667" s="67"/>
      <c r="B667" s="73"/>
      <c r="C667" s="74"/>
      <c r="D667" s="75"/>
      <c r="E667" s="76"/>
      <c r="F667" s="75"/>
      <c r="G667" s="62"/>
      <c r="H667" s="63" t="str">
        <f t="shared" si="1"/>
        <v/>
      </c>
      <c r="I667" s="55"/>
    </row>
    <row r="668">
      <c r="A668" s="67"/>
      <c r="B668" s="73"/>
      <c r="C668" s="74"/>
      <c r="D668" s="75"/>
      <c r="E668" s="76"/>
      <c r="F668" s="75"/>
      <c r="G668" s="62"/>
      <c r="H668" s="63" t="str">
        <f t="shared" si="1"/>
        <v/>
      </c>
      <c r="I668" s="55"/>
    </row>
    <row r="669">
      <c r="A669" s="67"/>
      <c r="B669" s="73"/>
      <c r="C669" s="74"/>
      <c r="D669" s="75"/>
      <c r="E669" s="76"/>
      <c r="F669" s="75"/>
      <c r="G669" s="62"/>
      <c r="H669" s="63" t="str">
        <f t="shared" si="1"/>
        <v/>
      </c>
      <c r="I669" s="55"/>
    </row>
    <row r="670">
      <c r="A670" s="67"/>
      <c r="B670" s="73"/>
      <c r="C670" s="74"/>
      <c r="D670" s="75"/>
      <c r="E670" s="76"/>
      <c r="F670" s="75"/>
      <c r="G670" s="62"/>
      <c r="H670" s="63" t="str">
        <f t="shared" si="1"/>
        <v/>
      </c>
      <c r="I670" s="55"/>
    </row>
    <row r="671">
      <c r="A671" s="67"/>
      <c r="B671" s="73"/>
      <c r="C671" s="74"/>
      <c r="D671" s="75"/>
      <c r="E671" s="76"/>
      <c r="F671" s="75"/>
      <c r="G671" s="62"/>
      <c r="H671" s="63" t="str">
        <f t="shared" si="1"/>
        <v/>
      </c>
      <c r="I671" s="55"/>
    </row>
    <row r="672">
      <c r="A672" s="67"/>
      <c r="B672" s="73"/>
      <c r="C672" s="74"/>
      <c r="D672" s="75"/>
      <c r="E672" s="76"/>
      <c r="F672" s="75"/>
      <c r="G672" s="62"/>
      <c r="H672" s="63" t="str">
        <f t="shared" si="1"/>
        <v/>
      </c>
      <c r="I672" s="55"/>
    </row>
    <row r="673">
      <c r="A673" s="67"/>
      <c r="B673" s="73"/>
      <c r="C673" s="74"/>
      <c r="D673" s="75"/>
      <c r="E673" s="76"/>
      <c r="F673" s="75"/>
      <c r="G673" s="62"/>
      <c r="H673" s="63" t="str">
        <f t="shared" si="1"/>
        <v/>
      </c>
      <c r="I673" s="55"/>
    </row>
    <row r="674">
      <c r="A674" s="67"/>
      <c r="B674" s="73"/>
      <c r="C674" s="74"/>
      <c r="D674" s="75"/>
      <c r="E674" s="76"/>
      <c r="F674" s="75"/>
      <c r="G674" s="62"/>
      <c r="H674" s="63" t="str">
        <f t="shared" si="1"/>
        <v/>
      </c>
      <c r="I674" s="55"/>
    </row>
    <row r="675">
      <c r="A675" s="67"/>
      <c r="B675" s="73"/>
      <c r="C675" s="74"/>
      <c r="D675" s="75"/>
      <c r="E675" s="76"/>
      <c r="F675" s="75"/>
      <c r="G675" s="62"/>
      <c r="H675" s="63" t="str">
        <f t="shared" si="1"/>
        <v/>
      </c>
      <c r="I675" s="55"/>
    </row>
    <row r="676">
      <c r="A676" s="67"/>
      <c r="B676" s="73"/>
      <c r="C676" s="74"/>
      <c r="D676" s="75"/>
      <c r="E676" s="76"/>
      <c r="F676" s="75"/>
      <c r="G676" s="62"/>
      <c r="H676" s="63" t="str">
        <f t="shared" si="1"/>
        <v/>
      </c>
      <c r="I676" s="55"/>
    </row>
    <row r="677">
      <c r="A677" s="67"/>
      <c r="B677" s="73"/>
      <c r="C677" s="74"/>
      <c r="D677" s="75"/>
      <c r="E677" s="76"/>
      <c r="F677" s="75"/>
      <c r="G677" s="62"/>
      <c r="H677" s="63" t="str">
        <f t="shared" si="1"/>
        <v/>
      </c>
      <c r="I677" s="55"/>
    </row>
    <row r="678">
      <c r="A678" s="67"/>
      <c r="B678" s="73"/>
      <c r="C678" s="74"/>
      <c r="D678" s="75"/>
      <c r="E678" s="76"/>
      <c r="F678" s="75"/>
      <c r="G678" s="62"/>
      <c r="H678" s="63" t="str">
        <f t="shared" si="1"/>
        <v/>
      </c>
      <c r="I678" s="55"/>
    </row>
    <row r="679">
      <c r="A679" s="67"/>
      <c r="B679" s="73"/>
      <c r="C679" s="74"/>
      <c r="D679" s="75"/>
      <c r="E679" s="76"/>
      <c r="F679" s="75"/>
      <c r="G679" s="62"/>
      <c r="H679" s="63" t="str">
        <f t="shared" si="1"/>
        <v/>
      </c>
      <c r="I679" s="55"/>
    </row>
    <row r="680">
      <c r="A680" s="67"/>
      <c r="B680" s="73"/>
      <c r="C680" s="74"/>
      <c r="D680" s="75"/>
      <c r="E680" s="76"/>
      <c r="F680" s="75"/>
      <c r="G680" s="62"/>
      <c r="H680" s="63" t="str">
        <f t="shared" si="1"/>
        <v/>
      </c>
      <c r="I680" s="55"/>
    </row>
    <row r="681">
      <c r="A681" s="67"/>
      <c r="B681" s="73"/>
      <c r="C681" s="74"/>
      <c r="D681" s="75"/>
      <c r="E681" s="76"/>
      <c r="F681" s="75"/>
      <c r="G681" s="62"/>
      <c r="H681" s="63" t="str">
        <f t="shared" si="1"/>
        <v/>
      </c>
      <c r="I681" s="55"/>
    </row>
    <row r="682">
      <c r="A682" s="67"/>
      <c r="B682" s="73"/>
      <c r="C682" s="74"/>
      <c r="D682" s="75"/>
      <c r="E682" s="76"/>
      <c r="F682" s="75"/>
      <c r="G682" s="62"/>
      <c r="H682" s="63" t="str">
        <f t="shared" si="1"/>
        <v/>
      </c>
      <c r="I682" s="55"/>
    </row>
    <row r="683">
      <c r="A683" s="67"/>
      <c r="B683" s="73"/>
      <c r="C683" s="74"/>
      <c r="D683" s="75"/>
      <c r="E683" s="76"/>
      <c r="F683" s="75"/>
      <c r="G683" s="62"/>
      <c r="H683" s="63" t="str">
        <f t="shared" si="1"/>
        <v/>
      </c>
      <c r="I683" s="55"/>
    </row>
    <row r="684">
      <c r="A684" s="67"/>
      <c r="B684" s="73"/>
      <c r="C684" s="74"/>
      <c r="D684" s="75"/>
      <c r="E684" s="76"/>
      <c r="F684" s="75"/>
      <c r="G684" s="62"/>
      <c r="H684" s="63" t="str">
        <f t="shared" si="1"/>
        <v/>
      </c>
      <c r="I684" s="55"/>
    </row>
    <row r="685">
      <c r="A685" s="67"/>
      <c r="B685" s="73"/>
      <c r="C685" s="74"/>
      <c r="D685" s="75"/>
      <c r="E685" s="76"/>
      <c r="F685" s="75"/>
      <c r="G685" s="62"/>
      <c r="H685" s="63" t="str">
        <f t="shared" si="1"/>
        <v/>
      </c>
      <c r="I685" s="55"/>
    </row>
    <row r="686">
      <c r="A686" s="67"/>
      <c r="B686" s="73"/>
      <c r="C686" s="74"/>
      <c r="D686" s="75"/>
      <c r="E686" s="76"/>
      <c r="F686" s="75"/>
      <c r="G686" s="62"/>
      <c r="H686" s="63" t="str">
        <f t="shared" si="1"/>
        <v/>
      </c>
      <c r="I686" s="55"/>
    </row>
    <row r="687">
      <c r="A687" s="67"/>
      <c r="B687" s="73"/>
      <c r="C687" s="74"/>
      <c r="D687" s="75"/>
      <c r="E687" s="76"/>
      <c r="F687" s="75"/>
      <c r="G687" s="62"/>
      <c r="H687" s="63" t="str">
        <f t="shared" si="1"/>
        <v/>
      </c>
      <c r="I687" s="55"/>
    </row>
    <row r="688">
      <c r="A688" s="67"/>
      <c r="B688" s="73"/>
      <c r="C688" s="74"/>
      <c r="D688" s="75"/>
      <c r="E688" s="76"/>
      <c r="F688" s="75"/>
      <c r="G688" s="62"/>
      <c r="H688" s="63" t="str">
        <f t="shared" si="1"/>
        <v/>
      </c>
      <c r="I688" s="55"/>
    </row>
    <row r="689">
      <c r="A689" s="67"/>
      <c r="B689" s="73"/>
      <c r="C689" s="74"/>
      <c r="D689" s="75"/>
      <c r="E689" s="76"/>
      <c r="F689" s="75"/>
      <c r="G689" s="62"/>
      <c r="H689" s="63" t="str">
        <f t="shared" si="1"/>
        <v/>
      </c>
      <c r="I689" s="55"/>
    </row>
    <row r="690">
      <c r="A690" s="67"/>
      <c r="B690" s="73"/>
      <c r="C690" s="74"/>
      <c r="D690" s="75"/>
      <c r="E690" s="76"/>
      <c r="F690" s="75"/>
      <c r="G690" s="62"/>
      <c r="H690" s="63" t="str">
        <f t="shared" si="1"/>
        <v/>
      </c>
      <c r="I690" s="55"/>
    </row>
    <row r="691">
      <c r="A691" s="67"/>
      <c r="B691" s="73"/>
      <c r="C691" s="74"/>
      <c r="D691" s="75"/>
      <c r="E691" s="76"/>
      <c r="F691" s="75"/>
      <c r="G691" s="62"/>
      <c r="H691" s="63" t="str">
        <f t="shared" si="1"/>
        <v/>
      </c>
      <c r="I691" s="55"/>
    </row>
    <row r="692">
      <c r="A692" s="67"/>
      <c r="B692" s="73"/>
      <c r="C692" s="74"/>
      <c r="D692" s="75"/>
      <c r="E692" s="76"/>
      <c r="F692" s="75"/>
      <c r="G692" s="62"/>
      <c r="H692" s="63" t="str">
        <f t="shared" si="1"/>
        <v/>
      </c>
      <c r="I692" s="55"/>
    </row>
    <row r="693">
      <c r="A693" s="67"/>
      <c r="B693" s="73"/>
      <c r="C693" s="74"/>
      <c r="D693" s="75"/>
      <c r="E693" s="76"/>
      <c r="F693" s="75"/>
      <c r="G693" s="62"/>
      <c r="H693" s="63" t="str">
        <f t="shared" si="1"/>
        <v/>
      </c>
      <c r="I693" s="55"/>
    </row>
    <row r="694">
      <c r="A694" s="67"/>
      <c r="B694" s="73"/>
      <c r="C694" s="74"/>
      <c r="D694" s="75"/>
      <c r="E694" s="76"/>
      <c r="F694" s="75"/>
      <c r="G694" s="62"/>
      <c r="H694" s="63" t="str">
        <f t="shared" si="1"/>
        <v/>
      </c>
      <c r="I694" s="55"/>
    </row>
    <row r="695">
      <c r="A695" s="67"/>
      <c r="B695" s="73"/>
      <c r="C695" s="74"/>
      <c r="D695" s="75"/>
      <c r="E695" s="76"/>
      <c r="F695" s="75"/>
      <c r="G695" s="62"/>
      <c r="H695" s="63" t="str">
        <f t="shared" si="1"/>
        <v/>
      </c>
      <c r="I695" s="55"/>
    </row>
    <row r="696">
      <c r="A696" s="67"/>
      <c r="B696" s="73"/>
      <c r="C696" s="74"/>
      <c r="D696" s="75"/>
      <c r="E696" s="76"/>
      <c r="F696" s="75"/>
      <c r="G696" s="62"/>
      <c r="H696" s="63" t="str">
        <f t="shared" si="1"/>
        <v/>
      </c>
      <c r="I696" s="55"/>
    </row>
    <row r="697">
      <c r="A697" s="67"/>
      <c r="B697" s="73"/>
      <c r="C697" s="74"/>
      <c r="D697" s="75"/>
      <c r="E697" s="76"/>
      <c r="F697" s="75"/>
      <c r="G697" s="62"/>
      <c r="H697" s="63" t="str">
        <f t="shared" si="1"/>
        <v/>
      </c>
      <c r="I697" s="55"/>
    </row>
    <row r="698">
      <c r="A698" s="67"/>
      <c r="B698" s="73"/>
      <c r="C698" s="74"/>
      <c r="D698" s="75"/>
      <c r="E698" s="76"/>
      <c r="F698" s="75"/>
      <c r="G698" s="62"/>
      <c r="H698" s="63" t="str">
        <f t="shared" si="1"/>
        <v/>
      </c>
      <c r="I698" s="55"/>
    </row>
    <row r="699">
      <c r="A699" s="67"/>
      <c r="B699" s="73"/>
      <c r="C699" s="74"/>
      <c r="D699" s="75"/>
      <c r="E699" s="76"/>
      <c r="F699" s="75"/>
      <c r="G699" s="62"/>
      <c r="H699" s="63" t="str">
        <f t="shared" si="1"/>
        <v/>
      </c>
      <c r="I699" s="55"/>
    </row>
    <row r="700">
      <c r="A700" s="67"/>
      <c r="B700" s="73"/>
      <c r="C700" s="74"/>
      <c r="D700" s="75"/>
      <c r="E700" s="76"/>
      <c r="F700" s="75"/>
      <c r="G700" s="62"/>
      <c r="H700" s="63" t="str">
        <f t="shared" si="1"/>
        <v/>
      </c>
      <c r="I700" s="55"/>
    </row>
    <row r="701">
      <c r="A701" s="67"/>
      <c r="B701" s="73"/>
      <c r="C701" s="74"/>
      <c r="D701" s="75"/>
      <c r="E701" s="76"/>
      <c r="F701" s="75"/>
      <c r="G701" s="62"/>
      <c r="H701" s="63" t="str">
        <f t="shared" si="1"/>
        <v/>
      </c>
      <c r="I701" s="55"/>
    </row>
    <row r="702">
      <c r="A702" s="67"/>
      <c r="B702" s="73"/>
      <c r="C702" s="74"/>
      <c r="D702" s="75"/>
      <c r="E702" s="76"/>
      <c r="F702" s="75"/>
      <c r="G702" s="62"/>
      <c r="H702" s="63" t="str">
        <f t="shared" si="1"/>
        <v/>
      </c>
      <c r="I702" s="55"/>
    </row>
    <row r="703">
      <c r="A703" s="67"/>
      <c r="B703" s="73"/>
      <c r="C703" s="74"/>
      <c r="D703" s="75"/>
      <c r="E703" s="76"/>
      <c r="F703" s="75"/>
      <c r="G703" s="62"/>
      <c r="H703" s="63" t="str">
        <f t="shared" si="1"/>
        <v/>
      </c>
      <c r="I703" s="55"/>
    </row>
    <row r="704">
      <c r="A704" s="67"/>
      <c r="B704" s="73"/>
      <c r="C704" s="74"/>
      <c r="D704" s="75"/>
      <c r="E704" s="76"/>
      <c r="F704" s="75"/>
      <c r="G704" s="62"/>
      <c r="H704" s="63" t="str">
        <f t="shared" si="1"/>
        <v/>
      </c>
      <c r="I704" s="55"/>
    </row>
    <row r="705">
      <c r="A705" s="67"/>
      <c r="B705" s="73"/>
      <c r="C705" s="74"/>
      <c r="D705" s="75"/>
      <c r="E705" s="76"/>
      <c r="F705" s="75"/>
      <c r="G705" s="62"/>
      <c r="H705" s="63" t="str">
        <f t="shared" si="1"/>
        <v/>
      </c>
      <c r="I705" s="55"/>
    </row>
    <row r="706">
      <c r="A706" s="67"/>
      <c r="B706" s="73"/>
      <c r="C706" s="74"/>
      <c r="D706" s="75"/>
      <c r="E706" s="76"/>
      <c r="F706" s="75"/>
      <c r="G706" s="62"/>
      <c r="H706" s="63" t="str">
        <f t="shared" si="1"/>
        <v/>
      </c>
      <c r="I706" s="55"/>
    </row>
    <row r="707">
      <c r="A707" s="67"/>
      <c r="B707" s="73"/>
      <c r="C707" s="74"/>
      <c r="D707" s="75"/>
      <c r="E707" s="76"/>
      <c r="F707" s="75"/>
      <c r="G707" s="62"/>
      <c r="H707" s="63" t="str">
        <f t="shared" si="1"/>
        <v/>
      </c>
      <c r="I707" s="55"/>
    </row>
    <row r="708">
      <c r="A708" s="67"/>
      <c r="B708" s="73"/>
      <c r="C708" s="74"/>
      <c r="D708" s="75"/>
      <c r="E708" s="76"/>
      <c r="F708" s="75"/>
      <c r="G708" s="62"/>
      <c r="H708" s="63" t="str">
        <f t="shared" si="1"/>
        <v/>
      </c>
      <c r="I708" s="55"/>
    </row>
    <row r="709">
      <c r="A709" s="67"/>
      <c r="B709" s="73"/>
      <c r="C709" s="74"/>
      <c r="D709" s="75"/>
      <c r="E709" s="76"/>
      <c r="F709" s="75"/>
      <c r="G709" s="62"/>
      <c r="H709" s="63" t="str">
        <f t="shared" si="1"/>
        <v/>
      </c>
      <c r="I709" s="55"/>
    </row>
    <row r="710">
      <c r="A710" s="67"/>
      <c r="B710" s="73"/>
      <c r="C710" s="74"/>
      <c r="D710" s="75"/>
      <c r="E710" s="76"/>
      <c r="F710" s="75"/>
      <c r="G710" s="62"/>
      <c r="H710" s="63" t="str">
        <f t="shared" si="1"/>
        <v/>
      </c>
      <c r="I710" s="55"/>
    </row>
    <row r="711">
      <c r="A711" s="67"/>
      <c r="B711" s="73"/>
      <c r="C711" s="74"/>
      <c r="D711" s="75"/>
      <c r="E711" s="76"/>
      <c r="F711" s="75"/>
      <c r="G711" s="62"/>
      <c r="H711" s="63" t="str">
        <f t="shared" si="1"/>
        <v/>
      </c>
      <c r="I711" s="55"/>
    </row>
    <row r="712">
      <c r="A712" s="67"/>
      <c r="B712" s="73"/>
      <c r="C712" s="74"/>
      <c r="D712" s="75"/>
      <c r="E712" s="76"/>
      <c r="F712" s="75"/>
      <c r="G712" s="62"/>
      <c r="H712" s="63" t="str">
        <f t="shared" si="1"/>
        <v/>
      </c>
      <c r="I712" s="55"/>
    </row>
    <row r="713">
      <c r="A713" s="67"/>
      <c r="B713" s="73"/>
      <c r="C713" s="74"/>
      <c r="D713" s="75"/>
      <c r="E713" s="76"/>
      <c r="F713" s="75"/>
      <c r="G713" s="62"/>
      <c r="H713" s="63" t="str">
        <f t="shared" si="1"/>
        <v/>
      </c>
      <c r="I713" s="55"/>
    </row>
    <row r="714">
      <c r="A714" s="67"/>
      <c r="B714" s="73"/>
      <c r="C714" s="74"/>
      <c r="D714" s="75"/>
      <c r="E714" s="76"/>
      <c r="F714" s="75"/>
      <c r="G714" s="62"/>
      <c r="H714" s="63" t="str">
        <f t="shared" si="1"/>
        <v/>
      </c>
      <c r="I714" s="55"/>
    </row>
    <row r="715">
      <c r="A715" s="67"/>
      <c r="B715" s="73"/>
      <c r="C715" s="74"/>
      <c r="D715" s="75"/>
      <c r="E715" s="76"/>
      <c r="F715" s="75"/>
      <c r="G715" s="62"/>
      <c r="H715" s="63" t="str">
        <f t="shared" si="1"/>
        <v/>
      </c>
      <c r="I715" s="55"/>
    </row>
    <row r="716">
      <c r="A716" s="67"/>
      <c r="B716" s="73"/>
      <c r="C716" s="74"/>
      <c r="D716" s="75"/>
      <c r="E716" s="76"/>
      <c r="F716" s="75"/>
      <c r="G716" s="62"/>
      <c r="H716" s="63" t="str">
        <f t="shared" si="1"/>
        <v/>
      </c>
      <c r="I716" s="55"/>
    </row>
    <row r="717">
      <c r="A717" s="67"/>
      <c r="B717" s="73"/>
      <c r="C717" s="74"/>
      <c r="D717" s="75"/>
      <c r="E717" s="76"/>
      <c r="F717" s="75"/>
      <c r="G717" s="62"/>
      <c r="H717" s="63" t="str">
        <f t="shared" si="1"/>
        <v/>
      </c>
      <c r="I717" s="55"/>
    </row>
    <row r="718">
      <c r="A718" s="67"/>
      <c r="B718" s="73"/>
      <c r="C718" s="74"/>
      <c r="D718" s="75"/>
      <c r="E718" s="76"/>
      <c r="F718" s="75"/>
      <c r="G718" s="62"/>
      <c r="H718" s="63" t="str">
        <f t="shared" si="1"/>
        <v/>
      </c>
      <c r="I718" s="55"/>
    </row>
    <row r="719">
      <c r="A719" s="67"/>
      <c r="B719" s="73"/>
      <c r="C719" s="74"/>
      <c r="D719" s="75"/>
      <c r="E719" s="76"/>
      <c r="F719" s="75"/>
      <c r="G719" s="62"/>
      <c r="H719" s="63" t="str">
        <f t="shared" si="1"/>
        <v/>
      </c>
      <c r="I719" s="55"/>
    </row>
    <row r="720">
      <c r="A720" s="67"/>
      <c r="B720" s="73"/>
      <c r="C720" s="74"/>
      <c r="D720" s="75"/>
      <c r="E720" s="76"/>
      <c r="F720" s="75"/>
      <c r="G720" s="62"/>
      <c r="H720" s="63" t="str">
        <f t="shared" si="1"/>
        <v/>
      </c>
      <c r="I720" s="55"/>
    </row>
    <row r="721">
      <c r="A721" s="67"/>
      <c r="B721" s="73"/>
      <c r="C721" s="74"/>
      <c r="D721" s="75"/>
      <c r="E721" s="76"/>
      <c r="F721" s="75"/>
      <c r="G721" s="62"/>
      <c r="H721" s="63" t="str">
        <f t="shared" si="1"/>
        <v/>
      </c>
      <c r="I721" s="55"/>
    </row>
    <row r="722">
      <c r="A722" s="67"/>
      <c r="B722" s="73"/>
      <c r="C722" s="74"/>
      <c r="D722" s="75"/>
      <c r="E722" s="76"/>
      <c r="F722" s="75"/>
      <c r="G722" s="62"/>
      <c r="H722" s="63" t="str">
        <f t="shared" si="1"/>
        <v/>
      </c>
      <c r="I722" s="55"/>
    </row>
    <row r="723">
      <c r="A723" s="67"/>
      <c r="B723" s="73"/>
      <c r="C723" s="74"/>
      <c r="D723" s="75"/>
      <c r="E723" s="76"/>
      <c r="F723" s="75"/>
      <c r="G723" s="62"/>
      <c r="H723" s="63" t="str">
        <f t="shared" si="1"/>
        <v/>
      </c>
      <c r="I723" s="55"/>
    </row>
    <row r="724">
      <c r="A724" s="67"/>
      <c r="B724" s="73"/>
      <c r="C724" s="74"/>
      <c r="D724" s="75"/>
      <c r="E724" s="76"/>
      <c r="F724" s="75"/>
      <c r="G724" s="62"/>
      <c r="H724" s="63" t="str">
        <f t="shared" si="1"/>
        <v/>
      </c>
      <c r="I724" s="55"/>
    </row>
    <row r="725">
      <c r="A725" s="67"/>
      <c r="B725" s="73"/>
      <c r="C725" s="74"/>
      <c r="D725" s="75"/>
      <c r="E725" s="76"/>
      <c r="F725" s="75"/>
      <c r="G725" s="62"/>
      <c r="H725" s="63" t="str">
        <f t="shared" si="1"/>
        <v/>
      </c>
      <c r="I725" s="55"/>
    </row>
    <row r="726">
      <c r="A726" s="67"/>
      <c r="B726" s="73"/>
      <c r="C726" s="74"/>
      <c r="D726" s="75"/>
      <c r="E726" s="76"/>
      <c r="F726" s="75"/>
      <c r="G726" s="62"/>
      <c r="H726" s="63" t="str">
        <f t="shared" si="1"/>
        <v/>
      </c>
      <c r="I726" s="55"/>
    </row>
    <row r="727">
      <c r="A727" s="67"/>
      <c r="B727" s="73"/>
      <c r="C727" s="74"/>
      <c r="D727" s="75"/>
      <c r="E727" s="76"/>
      <c r="F727" s="75"/>
      <c r="G727" s="62"/>
      <c r="H727" s="63" t="str">
        <f t="shared" si="1"/>
        <v/>
      </c>
      <c r="I727" s="55"/>
    </row>
    <row r="728">
      <c r="A728" s="67"/>
      <c r="B728" s="73"/>
      <c r="C728" s="74"/>
      <c r="D728" s="75"/>
      <c r="E728" s="76"/>
      <c r="F728" s="75"/>
      <c r="G728" s="62"/>
      <c r="H728" s="63" t="str">
        <f t="shared" si="1"/>
        <v/>
      </c>
      <c r="I728" s="55"/>
    </row>
    <row r="729">
      <c r="A729" s="67"/>
      <c r="B729" s="73"/>
      <c r="C729" s="74"/>
      <c r="D729" s="75"/>
      <c r="E729" s="76"/>
      <c r="F729" s="75"/>
      <c r="G729" s="62"/>
      <c r="H729" s="63" t="str">
        <f t="shared" si="1"/>
        <v/>
      </c>
      <c r="I729" s="55"/>
    </row>
    <row r="730">
      <c r="A730" s="67"/>
      <c r="B730" s="73"/>
      <c r="C730" s="74"/>
      <c r="D730" s="75"/>
      <c r="E730" s="76"/>
      <c r="F730" s="75"/>
      <c r="G730" s="62"/>
      <c r="H730" s="63" t="str">
        <f t="shared" si="1"/>
        <v/>
      </c>
      <c r="I730" s="55"/>
    </row>
    <row r="731">
      <c r="A731" s="67"/>
      <c r="B731" s="73"/>
      <c r="C731" s="74"/>
      <c r="D731" s="75"/>
      <c r="E731" s="76"/>
      <c r="F731" s="75"/>
      <c r="G731" s="62"/>
      <c r="H731" s="63" t="str">
        <f t="shared" si="1"/>
        <v/>
      </c>
      <c r="I731" s="55"/>
    </row>
    <row r="732">
      <c r="A732" s="67"/>
      <c r="B732" s="73"/>
      <c r="C732" s="74"/>
      <c r="D732" s="75"/>
      <c r="E732" s="76"/>
      <c r="F732" s="75"/>
      <c r="G732" s="62"/>
      <c r="H732" s="63" t="str">
        <f t="shared" si="1"/>
        <v/>
      </c>
      <c r="I732" s="55"/>
    </row>
    <row r="733">
      <c r="A733" s="67"/>
      <c r="B733" s="73"/>
      <c r="C733" s="74"/>
      <c r="D733" s="75"/>
      <c r="E733" s="76"/>
      <c r="F733" s="75"/>
      <c r="G733" s="62"/>
      <c r="H733" s="63" t="str">
        <f t="shared" si="1"/>
        <v/>
      </c>
      <c r="I733" s="55"/>
    </row>
    <row r="734">
      <c r="A734" s="67"/>
      <c r="B734" s="73"/>
      <c r="C734" s="74"/>
      <c r="D734" s="75"/>
      <c r="E734" s="76"/>
      <c r="F734" s="75"/>
      <c r="G734" s="62"/>
      <c r="H734" s="63" t="str">
        <f t="shared" si="1"/>
        <v/>
      </c>
      <c r="I734" s="55"/>
    </row>
    <row r="735">
      <c r="A735" s="67"/>
      <c r="B735" s="73"/>
      <c r="C735" s="74"/>
      <c r="D735" s="75"/>
      <c r="E735" s="76"/>
      <c r="F735" s="75"/>
      <c r="G735" s="62"/>
      <c r="H735" s="63" t="str">
        <f t="shared" si="1"/>
        <v/>
      </c>
      <c r="I735" s="55"/>
    </row>
    <row r="736">
      <c r="A736" s="67"/>
      <c r="B736" s="73"/>
      <c r="C736" s="74"/>
      <c r="D736" s="75"/>
      <c r="E736" s="76"/>
      <c r="F736" s="75"/>
      <c r="G736" s="62"/>
      <c r="H736" s="63" t="str">
        <f t="shared" si="1"/>
        <v/>
      </c>
      <c r="I736" s="55"/>
    </row>
    <row r="737">
      <c r="A737" s="67"/>
      <c r="B737" s="73"/>
      <c r="C737" s="74"/>
      <c r="D737" s="75"/>
      <c r="E737" s="76"/>
      <c r="F737" s="75"/>
      <c r="G737" s="62"/>
      <c r="H737" s="63" t="str">
        <f t="shared" si="1"/>
        <v/>
      </c>
      <c r="I737" s="55"/>
    </row>
    <row r="738">
      <c r="A738" s="67"/>
      <c r="B738" s="73"/>
      <c r="C738" s="74"/>
      <c r="D738" s="75"/>
      <c r="E738" s="76"/>
      <c r="F738" s="75"/>
      <c r="G738" s="62"/>
      <c r="H738" s="63" t="str">
        <f t="shared" si="1"/>
        <v/>
      </c>
      <c r="I738" s="55"/>
    </row>
    <row r="739">
      <c r="A739" s="67"/>
      <c r="B739" s="73"/>
      <c r="C739" s="74"/>
      <c r="D739" s="75"/>
      <c r="E739" s="76"/>
      <c r="F739" s="75"/>
      <c r="G739" s="62"/>
      <c r="H739" s="63" t="str">
        <f t="shared" si="1"/>
        <v/>
      </c>
      <c r="I739" s="55"/>
    </row>
    <row r="740">
      <c r="A740" s="67"/>
      <c r="B740" s="73"/>
      <c r="C740" s="74"/>
      <c r="D740" s="75"/>
      <c r="E740" s="76"/>
      <c r="F740" s="75"/>
      <c r="G740" s="62"/>
      <c r="H740" s="63" t="str">
        <f t="shared" si="1"/>
        <v/>
      </c>
      <c r="I740" s="55"/>
    </row>
    <row r="741">
      <c r="A741" s="67"/>
      <c r="B741" s="73"/>
      <c r="C741" s="74"/>
      <c r="D741" s="75"/>
      <c r="E741" s="76"/>
      <c r="F741" s="75"/>
      <c r="G741" s="62"/>
      <c r="H741" s="63" t="str">
        <f t="shared" si="1"/>
        <v/>
      </c>
      <c r="I741" s="55"/>
    </row>
    <row r="742">
      <c r="A742" s="67"/>
      <c r="B742" s="73"/>
      <c r="C742" s="74"/>
      <c r="D742" s="75"/>
      <c r="E742" s="76"/>
      <c r="F742" s="75"/>
      <c r="G742" s="62"/>
      <c r="H742" s="63" t="str">
        <f t="shared" si="1"/>
        <v/>
      </c>
      <c r="I742" s="55"/>
    </row>
    <row r="743">
      <c r="A743" s="67"/>
      <c r="B743" s="73"/>
      <c r="C743" s="74"/>
      <c r="D743" s="75"/>
      <c r="E743" s="76"/>
      <c r="F743" s="75"/>
      <c r="G743" s="62"/>
      <c r="H743" s="63" t="str">
        <f t="shared" si="1"/>
        <v/>
      </c>
      <c r="I743" s="55"/>
    </row>
    <row r="744">
      <c r="A744" s="67"/>
      <c r="B744" s="73"/>
      <c r="C744" s="74"/>
      <c r="D744" s="75"/>
      <c r="E744" s="76"/>
      <c r="F744" s="75"/>
      <c r="G744" s="62"/>
      <c r="H744" s="63" t="str">
        <f t="shared" si="1"/>
        <v/>
      </c>
      <c r="I744" s="55"/>
    </row>
    <row r="745">
      <c r="A745" s="67"/>
      <c r="B745" s="73"/>
      <c r="C745" s="74"/>
      <c r="D745" s="75"/>
      <c r="E745" s="76"/>
      <c r="F745" s="75"/>
      <c r="G745" s="62"/>
      <c r="H745" s="63" t="str">
        <f t="shared" si="1"/>
        <v/>
      </c>
      <c r="I745" s="55"/>
    </row>
    <row r="746">
      <c r="A746" s="67"/>
      <c r="B746" s="73"/>
      <c r="C746" s="74"/>
      <c r="D746" s="75"/>
      <c r="E746" s="76"/>
      <c r="F746" s="75"/>
      <c r="G746" s="62"/>
      <c r="H746" s="63" t="str">
        <f t="shared" si="1"/>
        <v/>
      </c>
      <c r="I746" s="55"/>
    </row>
    <row r="747">
      <c r="A747" s="67"/>
      <c r="B747" s="73"/>
      <c r="C747" s="74"/>
      <c r="D747" s="75"/>
      <c r="E747" s="76"/>
      <c r="F747" s="75"/>
      <c r="G747" s="62"/>
      <c r="H747" s="63" t="str">
        <f t="shared" si="1"/>
        <v/>
      </c>
      <c r="I747" s="55"/>
    </row>
    <row r="748">
      <c r="A748" s="67"/>
      <c r="B748" s="73"/>
      <c r="C748" s="74"/>
      <c r="D748" s="75"/>
      <c r="E748" s="76"/>
      <c r="F748" s="75"/>
      <c r="G748" s="62"/>
      <c r="H748" s="63" t="str">
        <f t="shared" si="1"/>
        <v/>
      </c>
      <c r="I748" s="55"/>
    </row>
    <row r="749">
      <c r="A749" s="67"/>
      <c r="B749" s="73"/>
      <c r="C749" s="74"/>
      <c r="D749" s="75"/>
      <c r="E749" s="76"/>
      <c r="F749" s="75"/>
      <c r="G749" s="62"/>
      <c r="H749" s="63" t="str">
        <f t="shared" si="1"/>
        <v/>
      </c>
      <c r="I749" s="55"/>
    </row>
    <row r="750">
      <c r="A750" s="67"/>
      <c r="B750" s="73"/>
      <c r="C750" s="74"/>
      <c r="D750" s="75"/>
      <c r="E750" s="76"/>
      <c r="F750" s="75"/>
      <c r="G750" s="62"/>
      <c r="H750" s="63" t="str">
        <f t="shared" si="1"/>
        <v/>
      </c>
      <c r="I750" s="55"/>
    </row>
    <row r="751">
      <c r="A751" s="67"/>
      <c r="B751" s="73"/>
      <c r="C751" s="74"/>
      <c r="D751" s="75"/>
      <c r="E751" s="76"/>
      <c r="F751" s="75"/>
      <c r="G751" s="62"/>
      <c r="H751" s="63" t="str">
        <f t="shared" si="1"/>
        <v/>
      </c>
      <c r="I751" s="55"/>
    </row>
    <row r="752">
      <c r="A752" s="67"/>
      <c r="B752" s="73"/>
      <c r="C752" s="74"/>
      <c r="D752" s="75"/>
      <c r="E752" s="76"/>
      <c r="F752" s="75"/>
      <c r="G752" s="62"/>
      <c r="H752" s="63" t="str">
        <f t="shared" si="1"/>
        <v/>
      </c>
      <c r="I752" s="55"/>
    </row>
    <row r="753">
      <c r="A753" s="67"/>
      <c r="B753" s="73"/>
      <c r="C753" s="74"/>
      <c r="D753" s="75"/>
      <c r="E753" s="76"/>
      <c r="F753" s="75"/>
      <c r="G753" s="62"/>
      <c r="H753" s="63" t="str">
        <f t="shared" si="1"/>
        <v/>
      </c>
      <c r="I753" s="55"/>
    </row>
    <row r="754">
      <c r="A754" s="67"/>
      <c r="B754" s="73"/>
      <c r="C754" s="74"/>
      <c r="D754" s="75"/>
      <c r="E754" s="76"/>
      <c r="F754" s="75"/>
      <c r="G754" s="62"/>
      <c r="H754" s="63" t="str">
        <f t="shared" si="1"/>
        <v/>
      </c>
      <c r="I754" s="55"/>
    </row>
    <row r="755">
      <c r="A755" s="67"/>
      <c r="B755" s="73"/>
      <c r="C755" s="74"/>
      <c r="D755" s="75"/>
      <c r="E755" s="76"/>
      <c r="F755" s="75"/>
      <c r="G755" s="62"/>
      <c r="H755" s="63" t="str">
        <f t="shared" si="1"/>
        <v/>
      </c>
      <c r="I755" s="55"/>
    </row>
    <row r="756">
      <c r="A756" s="67"/>
      <c r="B756" s="73"/>
      <c r="C756" s="74"/>
      <c r="D756" s="75"/>
      <c r="E756" s="76"/>
      <c r="F756" s="75"/>
      <c r="G756" s="62"/>
      <c r="H756" s="63" t="str">
        <f t="shared" si="1"/>
        <v/>
      </c>
      <c r="I756" s="55"/>
    </row>
    <row r="757">
      <c r="A757" s="67"/>
      <c r="B757" s="73"/>
      <c r="C757" s="74"/>
      <c r="D757" s="75"/>
      <c r="E757" s="76"/>
      <c r="F757" s="75"/>
      <c r="G757" s="62"/>
      <c r="H757" s="63" t="str">
        <f t="shared" si="1"/>
        <v/>
      </c>
      <c r="I757" s="55"/>
    </row>
    <row r="758">
      <c r="A758" s="67"/>
      <c r="B758" s="73"/>
      <c r="C758" s="74"/>
      <c r="D758" s="75"/>
      <c r="E758" s="76"/>
      <c r="F758" s="75"/>
      <c r="G758" s="62"/>
      <c r="H758" s="63" t="str">
        <f t="shared" si="1"/>
        <v/>
      </c>
      <c r="I758" s="55"/>
    </row>
    <row r="759">
      <c r="A759" s="67"/>
      <c r="B759" s="73"/>
      <c r="C759" s="74"/>
      <c r="D759" s="75"/>
      <c r="E759" s="76"/>
      <c r="F759" s="75"/>
      <c r="G759" s="62"/>
      <c r="H759" s="63" t="str">
        <f t="shared" si="1"/>
        <v/>
      </c>
      <c r="I759" s="55"/>
    </row>
    <row r="760">
      <c r="A760" s="67"/>
      <c r="B760" s="73"/>
      <c r="C760" s="74"/>
      <c r="D760" s="75"/>
      <c r="E760" s="76"/>
      <c r="F760" s="75"/>
      <c r="G760" s="62"/>
      <c r="H760" s="63" t="str">
        <f t="shared" si="1"/>
        <v/>
      </c>
      <c r="I760" s="55"/>
    </row>
    <row r="761">
      <c r="A761" s="67"/>
      <c r="B761" s="73"/>
      <c r="C761" s="74"/>
      <c r="D761" s="75"/>
      <c r="E761" s="76"/>
      <c r="F761" s="75"/>
      <c r="G761" s="62"/>
      <c r="H761" s="63" t="str">
        <f t="shared" si="1"/>
        <v/>
      </c>
      <c r="I761" s="55"/>
    </row>
    <row r="762">
      <c r="A762" s="67"/>
      <c r="B762" s="73"/>
      <c r="C762" s="74"/>
      <c r="D762" s="75"/>
      <c r="E762" s="76"/>
      <c r="F762" s="75"/>
      <c r="G762" s="62"/>
      <c r="H762" s="63" t="str">
        <f t="shared" si="1"/>
        <v/>
      </c>
      <c r="I762" s="55"/>
    </row>
    <row r="763">
      <c r="A763" s="67"/>
      <c r="B763" s="73"/>
      <c r="C763" s="74"/>
      <c r="D763" s="75"/>
      <c r="E763" s="76"/>
      <c r="F763" s="75"/>
      <c r="G763" s="62"/>
      <c r="H763" s="63" t="str">
        <f t="shared" si="1"/>
        <v/>
      </c>
      <c r="I763" s="55"/>
    </row>
    <row r="764">
      <c r="A764" s="67"/>
      <c r="B764" s="73"/>
      <c r="C764" s="74"/>
      <c r="D764" s="75"/>
      <c r="E764" s="76"/>
      <c r="F764" s="75"/>
      <c r="G764" s="62"/>
      <c r="H764" s="63" t="str">
        <f t="shared" si="1"/>
        <v/>
      </c>
      <c r="I764" s="55"/>
    </row>
    <row r="765">
      <c r="A765" s="67"/>
      <c r="B765" s="73"/>
      <c r="C765" s="74"/>
      <c r="D765" s="75"/>
      <c r="E765" s="76"/>
      <c r="F765" s="75"/>
      <c r="G765" s="62"/>
      <c r="H765" s="63" t="str">
        <f t="shared" si="1"/>
        <v/>
      </c>
      <c r="I765" s="55"/>
    </row>
    <row r="766">
      <c r="A766" s="67"/>
      <c r="B766" s="73"/>
      <c r="C766" s="74"/>
      <c r="D766" s="75"/>
      <c r="E766" s="76"/>
      <c r="F766" s="75"/>
      <c r="G766" s="62"/>
      <c r="H766" s="63" t="str">
        <f t="shared" si="1"/>
        <v/>
      </c>
      <c r="I766" s="55"/>
    </row>
    <row r="767">
      <c r="A767" s="67"/>
      <c r="B767" s="73"/>
      <c r="C767" s="74"/>
      <c r="D767" s="75"/>
      <c r="E767" s="76"/>
      <c r="F767" s="75"/>
      <c r="G767" s="62"/>
      <c r="H767" s="63" t="str">
        <f t="shared" si="1"/>
        <v/>
      </c>
      <c r="I767" s="55"/>
    </row>
    <row r="768">
      <c r="A768" s="67"/>
      <c r="B768" s="73"/>
      <c r="C768" s="74"/>
      <c r="D768" s="75"/>
      <c r="E768" s="76"/>
      <c r="F768" s="75"/>
      <c r="G768" s="62"/>
      <c r="H768" s="63" t="str">
        <f t="shared" si="1"/>
        <v/>
      </c>
      <c r="I768" s="55"/>
    </row>
    <row r="769">
      <c r="A769" s="67"/>
      <c r="B769" s="73"/>
      <c r="C769" s="74"/>
      <c r="D769" s="75"/>
      <c r="E769" s="76"/>
      <c r="F769" s="75"/>
      <c r="G769" s="62"/>
      <c r="H769" s="63" t="str">
        <f t="shared" si="1"/>
        <v/>
      </c>
      <c r="I769" s="55"/>
    </row>
    <row r="770">
      <c r="A770" s="67"/>
      <c r="B770" s="73"/>
      <c r="C770" s="74"/>
      <c r="D770" s="75"/>
      <c r="E770" s="76"/>
      <c r="F770" s="75"/>
      <c r="G770" s="62"/>
      <c r="H770" s="63" t="str">
        <f t="shared" si="1"/>
        <v/>
      </c>
      <c r="I770" s="55"/>
    </row>
    <row r="771">
      <c r="A771" s="67"/>
      <c r="B771" s="73"/>
      <c r="C771" s="74"/>
      <c r="D771" s="75"/>
      <c r="E771" s="76"/>
      <c r="F771" s="75"/>
      <c r="G771" s="62"/>
      <c r="H771" s="63" t="str">
        <f t="shared" si="1"/>
        <v/>
      </c>
      <c r="I771" s="55"/>
    </row>
    <row r="772">
      <c r="A772" s="67"/>
      <c r="B772" s="73"/>
      <c r="C772" s="74"/>
      <c r="D772" s="75"/>
      <c r="E772" s="76"/>
      <c r="F772" s="75"/>
      <c r="G772" s="62"/>
      <c r="H772" s="63" t="str">
        <f t="shared" si="1"/>
        <v/>
      </c>
      <c r="I772" s="55"/>
    </row>
    <row r="773">
      <c r="A773" s="67"/>
      <c r="B773" s="73"/>
      <c r="C773" s="74"/>
      <c r="D773" s="75"/>
      <c r="E773" s="76"/>
      <c r="F773" s="75"/>
      <c r="G773" s="62"/>
      <c r="H773" s="63" t="str">
        <f t="shared" si="1"/>
        <v/>
      </c>
      <c r="I773" s="55"/>
    </row>
    <row r="774">
      <c r="A774" s="67"/>
      <c r="B774" s="73"/>
      <c r="C774" s="74"/>
      <c r="D774" s="75"/>
      <c r="E774" s="76"/>
      <c r="F774" s="75"/>
      <c r="G774" s="62"/>
      <c r="H774" s="63" t="str">
        <f t="shared" si="1"/>
        <v/>
      </c>
      <c r="I774" s="55"/>
    </row>
    <row r="775">
      <c r="A775" s="67"/>
      <c r="B775" s="73"/>
      <c r="C775" s="74"/>
      <c r="D775" s="75"/>
      <c r="E775" s="76"/>
      <c r="F775" s="75"/>
      <c r="G775" s="62"/>
      <c r="H775" s="63" t="str">
        <f t="shared" si="1"/>
        <v/>
      </c>
      <c r="I775" s="55"/>
    </row>
    <row r="776">
      <c r="A776" s="67"/>
      <c r="B776" s="73"/>
      <c r="C776" s="74"/>
      <c r="D776" s="75"/>
      <c r="E776" s="76"/>
      <c r="F776" s="75"/>
      <c r="G776" s="62"/>
      <c r="H776" s="63" t="str">
        <f t="shared" si="1"/>
        <v/>
      </c>
      <c r="I776" s="55"/>
    </row>
    <row r="777">
      <c r="A777" s="67"/>
      <c r="B777" s="73"/>
      <c r="C777" s="74"/>
      <c r="D777" s="75"/>
      <c r="E777" s="76"/>
      <c r="F777" s="75"/>
      <c r="G777" s="62"/>
      <c r="H777" s="63" t="str">
        <f t="shared" si="1"/>
        <v/>
      </c>
      <c r="I777" s="55"/>
    </row>
    <row r="778">
      <c r="A778" s="67"/>
      <c r="B778" s="73"/>
      <c r="C778" s="74"/>
      <c r="D778" s="75"/>
      <c r="E778" s="76"/>
      <c r="F778" s="75"/>
      <c r="G778" s="62"/>
      <c r="H778" s="63" t="str">
        <f t="shared" si="1"/>
        <v/>
      </c>
      <c r="I778" s="55"/>
    </row>
    <row r="779">
      <c r="A779" s="67"/>
      <c r="B779" s="73"/>
      <c r="C779" s="74"/>
      <c r="D779" s="75"/>
      <c r="E779" s="76"/>
      <c r="F779" s="75"/>
      <c r="G779" s="62"/>
      <c r="H779" s="63" t="str">
        <f t="shared" si="1"/>
        <v/>
      </c>
      <c r="I779" s="55"/>
    </row>
    <row r="780">
      <c r="A780" s="67"/>
      <c r="B780" s="73"/>
      <c r="C780" s="74"/>
      <c r="D780" s="75"/>
      <c r="E780" s="76"/>
      <c r="F780" s="75"/>
      <c r="G780" s="62"/>
      <c r="H780" s="63" t="str">
        <f t="shared" si="1"/>
        <v/>
      </c>
      <c r="I780" s="55"/>
    </row>
    <row r="781">
      <c r="A781" s="67"/>
      <c r="B781" s="73"/>
      <c r="C781" s="74"/>
      <c r="D781" s="75"/>
      <c r="E781" s="76"/>
      <c r="F781" s="75"/>
      <c r="G781" s="62"/>
      <c r="H781" s="63" t="str">
        <f t="shared" si="1"/>
        <v/>
      </c>
      <c r="I781" s="55"/>
    </row>
    <row r="782">
      <c r="A782" s="67"/>
      <c r="B782" s="73"/>
      <c r="C782" s="74"/>
      <c r="D782" s="75"/>
      <c r="E782" s="76"/>
      <c r="F782" s="75"/>
      <c r="G782" s="62"/>
      <c r="H782" s="63" t="str">
        <f t="shared" si="1"/>
        <v/>
      </c>
      <c r="I782" s="55"/>
    </row>
    <row r="783">
      <c r="A783" s="67"/>
      <c r="B783" s="73"/>
      <c r="C783" s="74"/>
      <c r="D783" s="75"/>
      <c r="E783" s="76"/>
      <c r="F783" s="75"/>
      <c r="G783" s="62"/>
      <c r="H783" s="63" t="str">
        <f t="shared" si="1"/>
        <v/>
      </c>
      <c r="I783" s="55"/>
    </row>
    <row r="784">
      <c r="A784" s="67"/>
      <c r="B784" s="73"/>
      <c r="C784" s="74"/>
      <c r="D784" s="75"/>
      <c r="E784" s="76"/>
      <c r="F784" s="75"/>
      <c r="G784" s="62"/>
      <c r="H784" s="63" t="str">
        <f t="shared" si="1"/>
        <v/>
      </c>
      <c r="I784" s="55"/>
    </row>
    <row r="785">
      <c r="A785" s="67"/>
      <c r="B785" s="73"/>
      <c r="C785" s="74"/>
      <c r="D785" s="75"/>
      <c r="E785" s="76"/>
      <c r="F785" s="75"/>
      <c r="G785" s="62"/>
      <c r="H785" s="63" t="str">
        <f t="shared" si="1"/>
        <v/>
      </c>
      <c r="I785" s="55"/>
    </row>
    <row r="786">
      <c r="A786" s="67"/>
      <c r="B786" s="73"/>
      <c r="C786" s="74"/>
      <c r="D786" s="75"/>
      <c r="E786" s="76"/>
      <c r="F786" s="75"/>
      <c r="G786" s="62"/>
      <c r="H786" s="63" t="str">
        <f t="shared" si="1"/>
        <v/>
      </c>
      <c r="I786" s="55"/>
    </row>
    <row r="787">
      <c r="A787" s="67"/>
      <c r="B787" s="73"/>
      <c r="C787" s="74"/>
      <c r="D787" s="75"/>
      <c r="E787" s="76"/>
      <c r="F787" s="75"/>
      <c r="G787" s="62"/>
      <c r="H787" s="63" t="str">
        <f t="shared" si="1"/>
        <v/>
      </c>
      <c r="I787" s="55"/>
    </row>
    <row r="788">
      <c r="A788" s="67"/>
      <c r="B788" s="73"/>
      <c r="C788" s="74"/>
      <c r="D788" s="75"/>
      <c r="E788" s="76"/>
      <c r="F788" s="75"/>
      <c r="G788" s="62"/>
      <c r="H788" s="63" t="str">
        <f t="shared" si="1"/>
        <v/>
      </c>
      <c r="I788" s="55"/>
    </row>
    <row r="789">
      <c r="A789" s="67"/>
      <c r="B789" s="73"/>
      <c r="C789" s="74"/>
      <c r="D789" s="75"/>
      <c r="E789" s="76"/>
      <c r="F789" s="75"/>
      <c r="G789" s="62"/>
      <c r="H789" s="63" t="str">
        <f t="shared" si="1"/>
        <v/>
      </c>
      <c r="I789" s="55"/>
    </row>
    <row r="790">
      <c r="A790" s="67"/>
      <c r="B790" s="73"/>
      <c r="C790" s="74"/>
      <c r="D790" s="75"/>
      <c r="E790" s="76"/>
      <c r="F790" s="75"/>
      <c r="G790" s="62"/>
      <c r="H790" s="63" t="str">
        <f t="shared" si="1"/>
        <v/>
      </c>
      <c r="I790" s="55"/>
    </row>
    <row r="791">
      <c r="A791" s="67"/>
      <c r="B791" s="73"/>
      <c r="C791" s="74"/>
      <c r="D791" s="75"/>
      <c r="E791" s="76"/>
      <c r="F791" s="75"/>
      <c r="G791" s="62"/>
      <c r="H791" s="63" t="str">
        <f t="shared" si="1"/>
        <v/>
      </c>
      <c r="I791" s="55"/>
    </row>
    <row r="792">
      <c r="A792" s="67"/>
      <c r="B792" s="73"/>
      <c r="C792" s="74"/>
      <c r="D792" s="75"/>
      <c r="E792" s="76"/>
      <c r="F792" s="75"/>
      <c r="G792" s="62"/>
      <c r="H792" s="63" t="str">
        <f t="shared" si="1"/>
        <v/>
      </c>
      <c r="I792" s="55"/>
    </row>
    <row r="793">
      <c r="A793" s="67"/>
      <c r="B793" s="73"/>
      <c r="C793" s="74"/>
      <c r="D793" s="75"/>
      <c r="E793" s="76"/>
      <c r="F793" s="75"/>
      <c r="G793" s="62"/>
      <c r="H793" s="63" t="str">
        <f t="shared" si="1"/>
        <v/>
      </c>
      <c r="I793" s="55"/>
    </row>
    <row r="794">
      <c r="A794" s="67"/>
      <c r="B794" s="73"/>
      <c r="C794" s="74"/>
      <c r="D794" s="75"/>
      <c r="E794" s="76"/>
      <c r="F794" s="75"/>
      <c r="G794" s="62"/>
      <c r="H794" s="63" t="str">
        <f t="shared" si="1"/>
        <v/>
      </c>
      <c r="I794" s="55"/>
    </row>
    <row r="795">
      <c r="A795" s="67"/>
      <c r="B795" s="73"/>
      <c r="C795" s="74"/>
      <c r="D795" s="75"/>
      <c r="E795" s="76"/>
      <c r="F795" s="75"/>
      <c r="G795" s="62"/>
      <c r="H795" s="63" t="str">
        <f t="shared" si="1"/>
        <v/>
      </c>
      <c r="I795" s="55"/>
    </row>
    <row r="796">
      <c r="A796" s="67"/>
      <c r="B796" s="73"/>
      <c r="C796" s="74"/>
      <c r="D796" s="75"/>
      <c r="E796" s="76"/>
      <c r="F796" s="75"/>
      <c r="G796" s="62"/>
      <c r="H796" s="63" t="str">
        <f t="shared" si="1"/>
        <v/>
      </c>
      <c r="I796" s="55"/>
    </row>
    <row r="797">
      <c r="A797" s="67"/>
      <c r="B797" s="73"/>
      <c r="C797" s="74"/>
      <c r="D797" s="75"/>
      <c r="E797" s="76"/>
      <c r="F797" s="75"/>
      <c r="G797" s="62"/>
      <c r="H797" s="63" t="str">
        <f t="shared" si="1"/>
        <v/>
      </c>
      <c r="I797" s="55"/>
    </row>
    <row r="798">
      <c r="A798" s="67"/>
      <c r="B798" s="73"/>
      <c r="C798" s="74"/>
      <c r="D798" s="75"/>
      <c r="E798" s="76"/>
      <c r="F798" s="75"/>
      <c r="G798" s="62"/>
      <c r="H798" s="63" t="str">
        <f t="shared" si="1"/>
        <v/>
      </c>
      <c r="I798" s="55"/>
    </row>
    <row r="799">
      <c r="A799" s="67"/>
      <c r="B799" s="73"/>
      <c r="C799" s="74"/>
      <c r="D799" s="75"/>
      <c r="E799" s="76"/>
      <c r="F799" s="75"/>
      <c r="G799" s="62"/>
      <c r="H799" s="63" t="str">
        <f t="shared" si="1"/>
        <v/>
      </c>
      <c r="I799" s="55"/>
    </row>
    <row r="800">
      <c r="A800" s="67"/>
      <c r="B800" s="73"/>
      <c r="C800" s="74"/>
      <c r="D800" s="75"/>
      <c r="E800" s="76"/>
      <c r="F800" s="75"/>
      <c r="G800" s="62"/>
      <c r="H800" s="63" t="str">
        <f t="shared" si="1"/>
        <v/>
      </c>
      <c r="I800" s="55"/>
    </row>
    <row r="801">
      <c r="A801" s="67"/>
      <c r="B801" s="73"/>
      <c r="C801" s="74"/>
      <c r="D801" s="75"/>
      <c r="E801" s="76"/>
      <c r="F801" s="75"/>
      <c r="G801" s="62"/>
      <c r="H801" s="63" t="str">
        <f t="shared" si="1"/>
        <v/>
      </c>
      <c r="I801" s="55"/>
    </row>
    <row r="802">
      <c r="A802" s="67"/>
      <c r="B802" s="73"/>
      <c r="C802" s="74"/>
      <c r="D802" s="75"/>
      <c r="E802" s="76"/>
      <c r="F802" s="75"/>
      <c r="G802" s="62"/>
      <c r="H802" s="63" t="str">
        <f t="shared" si="1"/>
        <v/>
      </c>
      <c r="I802" s="55"/>
    </row>
    <row r="803">
      <c r="A803" s="67"/>
      <c r="B803" s="73"/>
      <c r="C803" s="74"/>
      <c r="D803" s="75"/>
      <c r="E803" s="76"/>
      <c r="F803" s="75"/>
      <c r="G803" s="62"/>
      <c r="H803" s="63" t="str">
        <f t="shared" si="1"/>
        <v/>
      </c>
      <c r="I803" s="55"/>
    </row>
    <row r="804">
      <c r="A804" s="67"/>
      <c r="B804" s="73"/>
      <c r="C804" s="74"/>
      <c r="D804" s="75"/>
      <c r="E804" s="76"/>
      <c r="F804" s="75"/>
      <c r="G804" s="62"/>
      <c r="H804" s="63" t="str">
        <f t="shared" si="1"/>
        <v/>
      </c>
      <c r="I804" s="55"/>
    </row>
    <row r="805">
      <c r="A805" s="67"/>
      <c r="B805" s="73"/>
      <c r="C805" s="74"/>
      <c r="D805" s="75"/>
      <c r="E805" s="76"/>
      <c r="F805" s="75"/>
      <c r="G805" s="62"/>
      <c r="H805" s="63" t="str">
        <f t="shared" si="1"/>
        <v/>
      </c>
      <c r="I805" s="55"/>
    </row>
    <row r="806">
      <c r="A806" s="67"/>
      <c r="B806" s="73"/>
      <c r="C806" s="74"/>
      <c r="D806" s="75"/>
      <c r="E806" s="76"/>
      <c r="F806" s="75"/>
      <c r="G806" s="62"/>
      <c r="H806" s="63" t="str">
        <f t="shared" si="1"/>
        <v/>
      </c>
      <c r="I806" s="55"/>
    </row>
    <row r="807">
      <c r="A807" s="67"/>
      <c r="B807" s="73"/>
      <c r="C807" s="74"/>
      <c r="D807" s="75"/>
      <c r="E807" s="76"/>
      <c r="F807" s="75"/>
      <c r="G807" s="62"/>
      <c r="H807" s="63" t="str">
        <f t="shared" si="1"/>
        <v/>
      </c>
      <c r="I807" s="55"/>
    </row>
    <row r="808">
      <c r="A808" s="67"/>
      <c r="B808" s="73"/>
      <c r="C808" s="74"/>
      <c r="D808" s="75"/>
      <c r="E808" s="76"/>
      <c r="F808" s="75"/>
      <c r="G808" s="62"/>
      <c r="H808" s="63" t="str">
        <f t="shared" si="1"/>
        <v/>
      </c>
      <c r="I808" s="55"/>
    </row>
    <row r="809">
      <c r="A809" s="67"/>
      <c r="B809" s="73"/>
      <c r="C809" s="74"/>
      <c r="D809" s="75"/>
      <c r="E809" s="76"/>
      <c r="F809" s="75"/>
      <c r="G809" s="62"/>
      <c r="H809" s="63" t="str">
        <f t="shared" si="1"/>
        <v/>
      </c>
      <c r="I809" s="55"/>
    </row>
    <row r="810">
      <c r="A810" s="67"/>
      <c r="B810" s="73"/>
      <c r="C810" s="74"/>
      <c r="D810" s="75"/>
      <c r="E810" s="76"/>
      <c r="F810" s="75"/>
      <c r="G810" s="62"/>
      <c r="H810" s="63" t="str">
        <f t="shared" si="1"/>
        <v/>
      </c>
      <c r="I810" s="55"/>
    </row>
    <row r="811">
      <c r="A811" s="67"/>
      <c r="B811" s="73"/>
      <c r="C811" s="74"/>
      <c r="D811" s="75"/>
      <c r="E811" s="76"/>
      <c r="F811" s="75"/>
      <c r="G811" s="62"/>
      <c r="H811" s="63" t="str">
        <f t="shared" si="1"/>
        <v/>
      </c>
      <c r="I811" s="55"/>
    </row>
    <row r="812">
      <c r="A812" s="67"/>
      <c r="B812" s="73"/>
      <c r="C812" s="74"/>
      <c r="D812" s="75"/>
      <c r="E812" s="76"/>
      <c r="F812" s="75"/>
      <c r="G812" s="62"/>
      <c r="H812" s="63" t="str">
        <f t="shared" si="1"/>
        <v/>
      </c>
      <c r="I812" s="55"/>
    </row>
    <row r="813">
      <c r="A813" s="67"/>
      <c r="B813" s="73"/>
      <c r="C813" s="74"/>
      <c r="D813" s="75"/>
      <c r="E813" s="76"/>
      <c r="F813" s="75"/>
      <c r="G813" s="62"/>
      <c r="H813" s="63" t="str">
        <f t="shared" si="1"/>
        <v/>
      </c>
      <c r="I813" s="55"/>
    </row>
    <row r="814">
      <c r="A814" s="67"/>
      <c r="B814" s="73"/>
      <c r="C814" s="74"/>
      <c r="D814" s="75"/>
      <c r="E814" s="76"/>
      <c r="F814" s="75"/>
      <c r="G814" s="62"/>
      <c r="H814" s="63" t="str">
        <f t="shared" si="1"/>
        <v/>
      </c>
      <c r="I814" s="55"/>
    </row>
    <row r="815">
      <c r="A815" s="67"/>
      <c r="B815" s="73"/>
      <c r="C815" s="74"/>
      <c r="D815" s="75"/>
      <c r="E815" s="76"/>
      <c r="F815" s="75"/>
      <c r="G815" s="62"/>
      <c r="H815" s="63" t="str">
        <f t="shared" si="1"/>
        <v/>
      </c>
      <c r="I815" s="55"/>
    </row>
    <row r="816">
      <c r="A816" s="67"/>
      <c r="B816" s="73"/>
      <c r="C816" s="74"/>
      <c r="D816" s="75"/>
      <c r="E816" s="76"/>
      <c r="F816" s="75"/>
      <c r="G816" s="62"/>
      <c r="H816" s="63" t="str">
        <f t="shared" si="1"/>
        <v/>
      </c>
      <c r="I816" s="55"/>
    </row>
    <row r="817">
      <c r="A817" s="67"/>
      <c r="B817" s="73"/>
      <c r="C817" s="74"/>
      <c r="D817" s="75"/>
      <c r="E817" s="76"/>
      <c r="F817" s="75"/>
      <c r="G817" s="62"/>
      <c r="H817" s="63" t="str">
        <f t="shared" si="1"/>
        <v/>
      </c>
      <c r="I817" s="55"/>
    </row>
    <row r="818">
      <c r="A818" s="67"/>
      <c r="B818" s="73"/>
      <c r="C818" s="74"/>
      <c r="D818" s="75"/>
      <c r="E818" s="76"/>
      <c r="F818" s="75"/>
      <c r="G818" s="62"/>
      <c r="H818" s="63" t="str">
        <f t="shared" si="1"/>
        <v/>
      </c>
      <c r="I818" s="55"/>
    </row>
    <row r="819">
      <c r="A819" s="67"/>
      <c r="B819" s="73"/>
      <c r="C819" s="74"/>
      <c r="D819" s="75"/>
      <c r="E819" s="76"/>
      <c r="F819" s="75"/>
      <c r="G819" s="62"/>
      <c r="H819" s="63" t="str">
        <f t="shared" si="1"/>
        <v/>
      </c>
      <c r="I819" s="55"/>
    </row>
    <row r="820">
      <c r="A820" s="67"/>
      <c r="B820" s="73"/>
      <c r="C820" s="74"/>
      <c r="D820" s="75"/>
      <c r="E820" s="76"/>
      <c r="F820" s="75"/>
      <c r="G820" s="62"/>
      <c r="H820" s="63" t="str">
        <f t="shared" si="1"/>
        <v/>
      </c>
      <c r="I820" s="55"/>
    </row>
    <row r="821">
      <c r="A821" s="67"/>
      <c r="B821" s="73"/>
      <c r="C821" s="74"/>
      <c r="D821" s="75"/>
      <c r="E821" s="76"/>
      <c r="F821" s="75"/>
      <c r="G821" s="62"/>
      <c r="H821" s="63" t="str">
        <f t="shared" si="1"/>
        <v/>
      </c>
      <c r="I821" s="55"/>
    </row>
    <row r="822">
      <c r="A822" s="67"/>
      <c r="B822" s="73"/>
      <c r="C822" s="74"/>
      <c r="D822" s="75"/>
      <c r="E822" s="76"/>
      <c r="F822" s="75"/>
      <c r="G822" s="62"/>
      <c r="H822" s="63" t="str">
        <f t="shared" si="1"/>
        <v/>
      </c>
      <c r="I822" s="55"/>
    </row>
    <row r="823">
      <c r="A823" s="67"/>
      <c r="B823" s="73"/>
      <c r="C823" s="74"/>
      <c r="D823" s="75"/>
      <c r="E823" s="76"/>
      <c r="F823" s="75"/>
      <c r="G823" s="62"/>
      <c r="H823" s="63" t="str">
        <f t="shared" si="1"/>
        <v/>
      </c>
      <c r="I823" s="55"/>
    </row>
    <row r="824">
      <c r="A824" s="67"/>
      <c r="B824" s="73"/>
      <c r="C824" s="74"/>
      <c r="D824" s="75"/>
      <c r="E824" s="76"/>
      <c r="F824" s="75"/>
      <c r="G824" s="62"/>
      <c r="H824" s="63" t="str">
        <f t="shared" si="1"/>
        <v/>
      </c>
      <c r="I824" s="55"/>
    </row>
    <row r="825">
      <c r="A825" s="67"/>
      <c r="B825" s="73"/>
      <c r="C825" s="74"/>
      <c r="D825" s="75"/>
      <c r="E825" s="76"/>
      <c r="F825" s="75"/>
      <c r="G825" s="62"/>
      <c r="H825" s="63" t="str">
        <f t="shared" si="1"/>
        <v/>
      </c>
      <c r="I825" s="55"/>
    </row>
    <row r="826">
      <c r="A826" s="67"/>
      <c r="B826" s="73"/>
      <c r="C826" s="74"/>
      <c r="D826" s="75"/>
      <c r="E826" s="76"/>
      <c r="F826" s="75"/>
      <c r="G826" s="62"/>
      <c r="H826" s="63" t="str">
        <f t="shared" si="1"/>
        <v/>
      </c>
      <c r="I826" s="55"/>
    </row>
    <row r="827">
      <c r="A827" s="67"/>
      <c r="B827" s="73"/>
      <c r="C827" s="74"/>
      <c r="D827" s="75"/>
      <c r="E827" s="76"/>
      <c r="F827" s="75"/>
      <c r="G827" s="62"/>
      <c r="H827" s="63" t="str">
        <f t="shared" si="1"/>
        <v/>
      </c>
      <c r="I827" s="55"/>
    </row>
    <row r="828">
      <c r="A828" s="67"/>
      <c r="B828" s="73"/>
      <c r="C828" s="74"/>
      <c r="D828" s="75"/>
      <c r="E828" s="76"/>
      <c r="F828" s="75"/>
      <c r="G828" s="62"/>
      <c r="H828" s="63" t="str">
        <f t="shared" si="1"/>
        <v/>
      </c>
      <c r="I828" s="55"/>
    </row>
    <row r="829">
      <c r="A829" s="67"/>
      <c r="B829" s="73"/>
      <c r="C829" s="74"/>
      <c r="D829" s="75"/>
      <c r="E829" s="76"/>
      <c r="F829" s="75"/>
      <c r="G829" s="62"/>
      <c r="H829" s="63" t="str">
        <f t="shared" si="1"/>
        <v/>
      </c>
      <c r="I829" s="55"/>
    </row>
    <row r="830">
      <c r="A830" s="67"/>
      <c r="B830" s="73"/>
      <c r="C830" s="74"/>
      <c r="D830" s="75"/>
      <c r="E830" s="76"/>
      <c r="F830" s="75"/>
      <c r="G830" s="62"/>
      <c r="H830" s="63" t="str">
        <f t="shared" si="1"/>
        <v/>
      </c>
      <c r="I830" s="55"/>
    </row>
    <row r="831">
      <c r="A831" s="67"/>
      <c r="B831" s="73"/>
      <c r="C831" s="74"/>
      <c r="D831" s="75"/>
      <c r="E831" s="76"/>
      <c r="F831" s="75"/>
      <c r="G831" s="62"/>
      <c r="H831" s="63" t="str">
        <f t="shared" si="1"/>
        <v/>
      </c>
      <c r="I831" s="55"/>
    </row>
    <row r="832">
      <c r="A832" s="67"/>
      <c r="B832" s="73"/>
      <c r="C832" s="74"/>
      <c r="D832" s="75"/>
      <c r="E832" s="76"/>
      <c r="F832" s="75"/>
      <c r="G832" s="62"/>
      <c r="H832" s="63" t="str">
        <f t="shared" si="1"/>
        <v/>
      </c>
      <c r="I832" s="55"/>
    </row>
    <row r="833">
      <c r="A833" s="67"/>
      <c r="B833" s="73"/>
      <c r="C833" s="74"/>
      <c r="D833" s="75"/>
      <c r="E833" s="76"/>
      <c r="F833" s="75"/>
      <c r="G833" s="62"/>
      <c r="H833" s="63" t="str">
        <f t="shared" si="1"/>
        <v/>
      </c>
      <c r="I833" s="55"/>
    </row>
    <row r="834">
      <c r="A834" s="67"/>
      <c r="B834" s="73"/>
      <c r="C834" s="74"/>
      <c r="D834" s="75"/>
      <c r="E834" s="76"/>
      <c r="F834" s="75"/>
      <c r="G834" s="62"/>
      <c r="H834" s="63" t="str">
        <f t="shared" si="1"/>
        <v/>
      </c>
      <c r="I834" s="55"/>
    </row>
    <row r="835">
      <c r="A835" s="67"/>
      <c r="B835" s="73"/>
      <c r="C835" s="74"/>
      <c r="D835" s="75"/>
      <c r="E835" s="76"/>
      <c r="F835" s="75"/>
      <c r="G835" s="62"/>
      <c r="H835" s="63" t="str">
        <f t="shared" si="1"/>
        <v/>
      </c>
      <c r="I835" s="55"/>
    </row>
    <row r="836">
      <c r="A836" s="67"/>
      <c r="B836" s="73"/>
      <c r="C836" s="74"/>
      <c r="D836" s="75"/>
      <c r="E836" s="76"/>
      <c r="F836" s="75"/>
      <c r="G836" s="62"/>
      <c r="H836" s="63" t="str">
        <f t="shared" si="1"/>
        <v/>
      </c>
      <c r="I836" s="55"/>
    </row>
    <row r="837">
      <c r="A837" s="67"/>
      <c r="B837" s="73"/>
      <c r="C837" s="74"/>
      <c r="D837" s="75"/>
      <c r="E837" s="76"/>
      <c r="F837" s="75"/>
      <c r="G837" s="62"/>
      <c r="H837" s="63" t="str">
        <f t="shared" si="1"/>
        <v/>
      </c>
      <c r="I837" s="55"/>
    </row>
    <row r="838">
      <c r="A838" s="67"/>
      <c r="B838" s="73"/>
      <c r="C838" s="74"/>
      <c r="D838" s="75"/>
      <c r="E838" s="76"/>
      <c r="F838" s="75"/>
      <c r="G838" s="62"/>
      <c r="H838" s="63" t="str">
        <f t="shared" si="1"/>
        <v/>
      </c>
      <c r="I838" s="55"/>
    </row>
    <row r="839">
      <c r="A839" s="67"/>
      <c r="B839" s="73"/>
      <c r="C839" s="74"/>
      <c r="D839" s="75"/>
      <c r="E839" s="76"/>
      <c r="F839" s="75"/>
      <c r="G839" s="62"/>
      <c r="H839" s="63" t="str">
        <f t="shared" si="1"/>
        <v/>
      </c>
      <c r="I839" s="55"/>
    </row>
    <row r="840">
      <c r="A840" s="67"/>
      <c r="B840" s="73"/>
      <c r="C840" s="74"/>
      <c r="D840" s="75"/>
      <c r="E840" s="76"/>
      <c r="F840" s="75"/>
      <c r="G840" s="62"/>
      <c r="H840" s="63" t="str">
        <f t="shared" si="1"/>
        <v/>
      </c>
      <c r="I840" s="55"/>
    </row>
    <row r="841">
      <c r="A841" s="67"/>
      <c r="B841" s="73"/>
      <c r="C841" s="74"/>
      <c r="D841" s="75"/>
      <c r="E841" s="76"/>
      <c r="F841" s="75"/>
      <c r="G841" s="62"/>
      <c r="H841" s="63" t="str">
        <f t="shared" si="1"/>
        <v/>
      </c>
      <c r="I841" s="55"/>
    </row>
    <row r="842">
      <c r="A842" s="67"/>
      <c r="B842" s="73"/>
      <c r="C842" s="74"/>
      <c r="D842" s="75"/>
      <c r="E842" s="76"/>
      <c r="F842" s="75"/>
      <c r="G842" s="62"/>
      <c r="H842" s="63" t="str">
        <f t="shared" si="1"/>
        <v/>
      </c>
      <c r="I842" s="55"/>
    </row>
    <row r="843">
      <c r="A843" s="67"/>
      <c r="B843" s="73"/>
      <c r="C843" s="74"/>
      <c r="D843" s="75"/>
      <c r="E843" s="76"/>
      <c r="F843" s="75"/>
      <c r="G843" s="62"/>
      <c r="H843" s="63" t="str">
        <f t="shared" si="1"/>
        <v/>
      </c>
      <c r="I843" s="55"/>
    </row>
    <row r="844">
      <c r="A844" s="67"/>
      <c r="B844" s="73"/>
      <c r="C844" s="74"/>
      <c r="D844" s="75"/>
      <c r="E844" s="76"/>
      <c r="F844" s="75"/>
      <c r="G844" s="62"/>
      <c r="H844" s="63" t="str">
        <f t="shared" si="1"/>
        <v/>
      </c>
      <c r="I844" s="55"/>
    </row>
    <row r="845">
      <c r="A845" s="67"/>
      <c r="B845" s="73"/>
      <c r="C845" s="74"/>
      <c r="D845" s="75"/>
      <c r="E845" s="76"/>
      <c r="F845" s="75"/>
      <c r="G845" s="62"/>
      <c r="H845" s="63" t="str">
        <f t="shared" si="1"/>
        <v/>
      </c>
      <c r="I845" s="55"/>
    </row>
    <row r="846">
      <c r="A846" s="67"/>
      <c r="B846" s="73"/>
      <c r="C846" s="74"/>
      <c r="D846" s="75"/>
      <c r="E846" s="76"/>
      <c r="F846" s="75"/>
      <c r="G846" s="62"/>
      <c r="H846" s="63" t="str">
        <f t="shared" si="1"/>
        <v/>
      </c>
      <c r="I846" s="55"/>
    </row>
    <row r="847">
      <c r="A847" s="67"/>
      <c r="B847" s="73"/>
      <c r="C847" s="74"/>
      <c r="D847" s="75"/>
      <c r="E847" s="76"/>
      <c r="F847" s="75"/>
      <c r="G847" s="62"/>
      <c r="H847" s="63" t="str">
        <f t="shared" si="1"/>
        <v/>
      </c>
      <c r="I847" s="55"/>
    </row>
    <row r="848">
      <c r="A848" s="67"/>
      <c r="B848" s="73"/>
      <c r="C848" s="74"/>
      <c r="D848" s="75"/>
      <c r="E848" s="76"/>
      <c r="F848" s="75"/>
      <c r="G848" s="62"/>
      <c r="H848" s="63" t="str">
        <f t="shared" si="1"/>
        <v/>
      </c>
      <c r="I848" s="55"/>
    </row>
    <row r="849">
      <c r="A849" s="67"/>
      <c r="B849" s="73"/>
      <c r="C849" s="74"/>
      <c r="D849" s="75"/>
      <c r="E849" s="76"/>
      <c r="F849" s="75"/>
      <c r="G849" s="62"/>
      <c r="H849" s="63" t="str">
        <f t="shared" si="1"/>
        <v/>
      </c>
      <c r="I849" s="55"/>
    </row>
    <row r="850">
      <c r="A850" s="67"/>
      <c r="B850" s="73"/>
      <c r="C850" s="74"/>
      <c r="D850" s="75"/>
      <c r="E850" s="76"/>
      <c r="F850" s="75"/>
      <c r="G850" s="62"/>
      <c r="H850" s="63" t="str">
        <f t="shared" si="1"/>
        <v/>
      </c>
      <c r="I850" s="55"/>
    </row>
    <row r="851">
      <c r="A851" s="67"/>
      <c r="B851" s="73"/>
      <c r="C851" s="74"/>
      <c r="D851" s="75"/>
      <c r="E851" s="76"/>
      <c r="F851" s="75"/>
      <c r="G851" s="62"/>
      <c r="H851" s="63" t="str">
        <f t="shared" si="1"/>
        <v/>
      </c>
      <c r="I851" s="55"/>
    </row>
    <row r="852">
      <c r="A852" s="67"/>
      <c r="B852" s="73"/>
      <c r="C852" s="74"/>
      <c r="D852" s="75"/>
      <c r="E852" s="76"/>
      <c r="F852" s="75"/>
      <c r="G852" s="62"/>
      <c r="H852" s="63" t="str">
        <f t="shared" si="1"/>
        <v/>
      </c>
      <c r="I852" s="55"/>
    </row>
    <row r="853">
      <c r="A853" s="67"/>
      <c r="B853" s="73"/>
      <c r="C853" s="74"/>
      <c r="D853" s="75"/>
      <c r="E853" s="76"/>
      <c r="F853" s="75"/>
      <c r="G853" s="62"/>
      <c r="H853" s="63" t="str">
        <f t="shared" si="1"/>
        <v/>
      </c>
      <c r="I853" s="55"/>
    </row>
    <row r="854">
      <c r="A854" s="67"/>
      <c r="B854" s="73"/>
      <c r="C854" s="74"/>
      <c r="D854" s="75"/>
      <c r="E854" s="76"/>
      <c r="F854" s="75"/>
      <c r="G854" s="62"/>
      <c r="H854" s="63" t="str">
        <f t="shared" si="1"/>
        <v/>
      </c>
      <c r="I854" s="55"/>
    </row>
    <row r="855">
      <c r="A855" s="67"/>
      <c r="B855" s="73"/>
      <c r="C855" s="74"/>
      <c r="D855" s="75"/>
      <c r="E855" s="76"/>
      <c r="F855" s="75"/>
      <c r="G855" s="62"/>
      <c r="H855" s="63" t="str">
        <f t="shared" si="1"/>
        <v/>
      </c>
      <c r="I855" s="55"/>
    </row>
    <row r="856">
      <c r="A856" s="67"/>
      <c r="B856" s="73"/>
      <c r="C856" s="74"/>
      <c r="D856" s="75"/>
      <c r="E856" s="76"/>
      <c r="F856" s="75"/>
      <c r="G856" s="62"/>
      <c r="H856" s="63" t="str">
        <f t="shared" si="1"/>
        <v/>
      </c>
      <c r="I856" s="55"/>
    </row>
    <row r="857">
      <c r="A857" s="67"/>
      <c r="B857" s="73"/>
      <c r="C857" s="74"/>
      <c r="D857" s="75"/>
      <c r="E857" s="76"/>
      <c r="F857" s="75"/>
      <c r="G857" s="62"/>
      <c r="H857" s="63" t="str">
        <f t="shared" si="1"/>
        <v/>
      </c>
      <c r="I857" s="55"/>
    </row>
    <row r="858">
      <c r="A858" s="67"/>
      <c r="B858" s="73"/>
      <c r="C858" s="74"/>
      <c r="D858" s="75"/>
      <c r="E858" s="76"/>
      <c r="F858" s="75"/>
      <c r="G858" s="62"/>
      <c r="H858" s="63" t="str">
        <f t="shared" si="1"/>
        <v/>
      </c>
      <c r="I858" s="55"/>
    </row>
    <row r="859">
      <c r="A859" s="67"/>
      <c r="B859" s="73"/>
      <c r="C859" s="74"/>
      <c r="D859" s="75"/>
      <c r="E859" s="76"/>
      <c r="F859" s="75"/>
      <c r="G859" s="62"/>
      <c r="H859" s="63" t="str">
        <f t="shared" si="1"/>
        <v/>
      </c>
      <c r="I859" s="55"/>
    </row>
    <row r="860">
      <c r="A860" s="67"/>
      <c r="B860" s="73"/>
      <c r="C860" s="74"/>
      <c r="D860" s="75"/>
      <c r="E860" s="76"/>
      <c r="F860" s="75"/>
      <c r="G860" s="62"/>
      <c r="H860" s="63" t="str">
        <f t="shared" si="1"/>
        <v/>
      </c>
      <c r="I860" s="55"/>
    </row>
    <row r="861">
      <c r="A861" s="67"/>
      <c r="B861" s="73"/>
      <c r="C861" s="74"/>
      <c r="D861" s="75"/>
      <c r="E861" s="76"/>
      <c r="F861" s="75"/>
      <c r="G861" s="62"/>
      <c r="H861" s="63" t="str">
        <f t="shared" si="1"/>
        <v/>
      </c>
      <c r="I861" s="55"/>
    </row>
    <row r="862">
      <c r="A862" s="67"/>
      <c r="B862" s="73"/>
      <c r="C862" s="74"/>
      <c r="D862" s="75"/>
      <c r="E862" s="76"/>
      <c r="F862" s="75"/>
      <c r="G862" s="62"/>
      <c r="H862" s="63" t="str">
        <f t="shared" si="1"/>
        <v/>
      </c>
      <c r="I862" s="55"/>
    </row>
    <row r="863">
      <c r="A863" s="67"/>
      <c r="B863" s="73"/>
      <c r="C863" s="74"/>
      <c r="D863" s="75"/>
      <c r="E863" s="76"/>
      <c r="F863" s="75"/>
      <c r="G863" s="62"/>
      <c r="H863" s="63" t="str">
        <f t="shared" si="1"/>
        <v/>
      </c>
      <c r="I863" s="55"/>
    </row>
    <row r="864">
      <c r="A864" s="67"/>
      <c r="B864" s="73"/>
      <c r="C864" s="74"/>
      <c r="D864" s="75"/>
      <c r="E864" s="76"/>
      <c r="F864" s="75"/>
      <c r="G864" s="62"/>
      <c r="H864" s="63" t="str">
        <f t="shared" si="1"/>
        <v/>
      </c>
      <c r="I864" s="55"/>
    </row>
    <row r="865">
      <c r="A865" s="67"/>
      <c r="B865" s="73"/>
      <c r="C865" s="74"/>
      <c r="D865" s="75"/>
      <c r="E865" s="76"/>
      <c r="F865" s="75"/>
      <c r="G865" s="62"/>
      <c r="H865" s="63" t="str">
        <f t="shared" si="1"/>
        <v/>
      </c>
      <c r="I865" s="55"/>
    </row>
    <row r="866">
      <c r="A866" s="67"/>
      <c r="B866" s="73"/>
      <c r="C866" s="74"/>
      <c r="D866" s="75"/>
      <c r="E866" s="76"/>
      <c r="F866" s="75"/>
      <c r="G866" s="62"/>
      <c r="H866" s="63" t="str">
        <f t="shared" si="1"/>
        <v/>
      </c>
      <c r="I866" s="55"/>
    </row>
    <row r="867">
      <c r="A867" s="67"/>
      <c r="B867" s="73"/>
      <c r="C867" s="74"/>
      <c r="D867" s="75"/>
      <c r="E867" s="76"/>
      <c r="F867" s="75"/>
      <c r="G867" s="62"/>
      <c r="H867" s="63" t="str">
        <f t="shared" si="1"/>
        <v/>
      </c>
      <c r="I867" s="55"/>
    </row>
    <row r="868">
      <c r="A868" s="67"/>
      <c r="B868" s="73"/>
      <c r="C868" s="74"/>
      <c r="D868" s="75"/>
      <c r="E868" s="76"/>
      <c r="F868" s="75"/>
      <c r="G868" s="62"/>
      <c r="H868" s="63" t="str">
        <f t="shared" si="1"/>
        <v/>
      </c>
      <c r="I868" s="55"/>
    </row>
    <row r="869">
      <c r="A869" s="67"/>
      <c r="B869" s="73"/>
      <c r="C869" s="74"/>
      <c r="D869" s="75"/>
      <c r="E869" s="76"/>
      <c r="F869" s="75"/>
      <c r="G869" s="62"/>
      <c r="H869" s="63" t="str">
        <f t="shared" si="1"/>
        <v/>
      </c>
      <c r="I869" s="55"/>
    </row>
    <row r="870">
      <c r="A870" s="67"/>
      <c r="B870" s="73"/>
      <c r="C870" s="74"/>
      <c r="D870" s="75"/>
      <c r="E870" s="76"/>
      <c r="F870" s="75"/>
      <c r="G870" s="62"/>
      <c r="H870" s="63" t="str">
        <f t="shared" si="1"/>
        <v/>
      </c>
      <c r="I870" s="55"/>
    </row>
    <row r="871">
      <c r="A871" s="67"/>
      <c r="B871" s="73"/>
      <c r="C871" s="74"/>
      <c r="D871" s="75"/>
      <c r="E871" s="76"/>
      <c r="F871" s="75"/>
      <c r="G871" s="62"/>
      <c r="H871" s="63" t="str">
        <f t="shared" si="1"/>
        <v/>
      </c>
      <c r="I871" s="55"/>
    </row>
    <row r="872">
      <c r="A872" s="67"/>
      <c r="B872" s="73"/>
      <c r="C872" s="74"/>
      <c r="D872" s="75"/>
      <c r="E872" s="76"/>
      <c r="F872" s="75"/>
      <c r="G872" s="62"/>
      <c r="H872" s="63" t="str">
        <f t="shared" si="1"/>
        <v/>
      </c>
      <c r="I872" s="55"/>
    </row>
    <row r="873">
      <c r="A873" s="67"/>
      <c r="B873" s="73"/>
      <c r="C873" s="74"/>
      <c r="D873" s="75"/>
      <c r="E873" s="76"/>
      <c r="F873" s="75"/>
      <c r="G873" s="62"/>
      <c r="H873" s="63" t="str">
        <f t="shared" si="1"/>
        <v/>
      </c>
      <c r="I873" s="55"/>
    </row>
    <row r="874">
      <c r="A874" s="67"/>
      <c r="B874" s="73"/>
      <c r="C874" s="74"/>
      <c r="D874" s="75"/>
      <c r="E874" s="76"/>
      <c r="F874" s="75"/>
      <c r="G874" s="62"/>
      <c r="H874" s="63" t="str">
        <f t="shared" si="1"/>
        <v/>
      </c>
      <c r="I874" s="55"/>
    </row>
    <row r="875">
      <c r="A875" s="67"/>
      <c r="B875" s="73"/>
      <c r="C875" s="74"/>
      <c r="D875" s="75"/>
      <c r="E875" s="76"/>
      <c r="F875" s="75"/>
      <c r="G875" s="62"/>
      <c r="H875" s="63" t="str">
        <f t="shared" si="1"/>
        <v/>
      </c>
      <c r="I875" s="55"/>
    </row>
    <row r="876">
      <c r="A876" s="67"/>
      <c r="B876" s="73"/>
      <c r="C876" s="74"/>
      <c r="D876" s="75"/>
      <c r="E876" s="76"/>
      <c r="F876" s="75"/>
      <c r="G876" s="62"/>
      <c r="H876" s="63" t="str">
        <f t="shared" si="1"/>
        <v/>
      </c>
      <c r="I876" s="55"/>
    </row>
    <row r="877">
      <c r="A877" s="67"/>
      <c r="B877" s="73"/>
      <c r="C877" s="74"/>
      <c r="D877" s="75"/>
      <c r="E877" s="76"/>
      <c r="F877" s="75"/>
      <c r="G877" s="62"/>
      <c r="H877" s="63" t="str">
        <f t="shared" si="1"/>
        <v/>
      </c>
      <c r="I877" s="55"/>
    </row>
    <row r="878">
      <c r="A878" s="67"/>
      <c r="B878" s="73"/>
      <c r="C878" s="74"/>
      <c r="D878" s="75"/>
      <c r="E878" s="76"/>
      <c r="F878" s="75"/>
      <c r="G878" s="62"/>
      <c r="H878" s="63" t="str">
        <f t="shared" si="1"/>
        <v/>
      </c>
      <c r="I878" s="55"/>
    </row>
    <row r="879">
      <c r="A879" s="67"/>
      <c r="B879" s="73"/>
      <c r="C879" s="74"/>
      <c r="D879" s="75"/>
      <c r="E879" s="76"/>
      <c r="F879" s="75"/>
      <c r="G879" s="62"/>
      <c r="H879" s="63" t="str">
        <f t="shared" si="1"/>
        <v/>
      </c>
      <c r="I879" s="55"/>
    </row>
    <row r="880">
      <c r="A880" s="67"/>
      <c r="B880" s="73"/>
      <c r="C880" s="74"/>
      <c r="D880" s="75"/>
      <c r="E880" s="76"/>
      <c r="F880" s="75"/>
      <c r="G880" s="62"/>
      <c r="H880" s="63" t="str">
        <f t="shared" si="1"/>
        <v/>
      </c>
      <c r="I880" s="55"/>
    </row>
    <row r="881">
      <c r="A881" s="67"/>
      <c r="B881" s="73"/>
      <c r="C881" s="74"/>
      <c r="D881" s="75"/>
      <c r="E881" s="76"/>
      <c r="F881" s="75"/>
      <c r="G881" s="62"/>
      <c r="H881" s="63" t="str">
        <f t="shared" si="1"/>
        <v/>
      </c>
      <c r="I881" s="55"/>
    </row>
    <row r="882">
      <c r="A882" s="67"/>
      <c r="B882" s="73"/>
      <c r="C882" s="74"/>
      <c r="D882" s="75"/>
      <c r="E882" s="76"/>
      <c r="F882" s="75"/>
      <c r="G882" s="62"/>
      <c r="H882" s="63" t="str">
        <f t="shared" si="1"/>
        <v/>
      </c>
      <c r="I882" s="55"/>
    </row>
    <row r="883">
      <c r="A883" s="67"/>
      <c r="B883" s="73"/>
      <c r="C883" s="74"/>
      <c r="D883" s="75"/>
      <c r="E883" s="76"/>
      <c r="F883" s="75"/>
      <c r="G883" s="62"/>
      <c r="H883" s="63" t="str">
        <f t="shared" si="1"/>
        <v/>
      </c>
      <c r="I883" s="55"/>
    </row>
    <row r="884">
      <c r="A884" s="67"/>
      <c r="B884" s="73"/>
      <c r="C884" s="74"/>
      <c r="D884" s="75"/>
      <c r="E884" s="76"/>
      <c r="F884" s="75"/>
      <c r="G884" s="62"/>
      <c r="H884" s="63" t="str">
        <f t="shared" si="1"/>
        <v/>
      </c>
      <c r="I884" s="55"/>
    </row>
    <row r="885">
      <c r="A885" s="67"/>
      <c r="B885" s="73"/>
      <c r="C885" s="74"/>
      <c r="D885" s="75"/>
      <c r="E885" s="76"/>
      <c r="F885" s="75"/>
      <c r="G885" s="62"/>
      <c r="H885" s="63" t="str">
        <f t="shared" si="1"/>
        <v/>
      </c>
      <c r="I885" s="55"/>
    </row>
    <row r="886">
      <c r="A886" s="67"/>
      <c r="B886" s="73"/>
      <c r="C886" s="74"/>
      <c r="D886" s="75"/>
      <c r="E886" s="76"/>
      <c r="F886" s="75"/>
      <c r="G886" s="62"/>
      <c r="H886" s="63" t="str">
        <f t="shared" si="1"/>
        <v/>
      </c>
      <c r="I886" s="55"/>
    </row>
    <row r="887">
      <c r="A887" s="67"/>
      <c r="B887" s="73"/>
      <c r="C887" s="74"/>
      <c r="D887" s="75"/>
      <c r="E887" s="76"/>
      <c r="F887" s="75"/>
      <c r="G887" s="62"/>
      <c r="H887" s="63" t="str">
        <f t="shared" si="1"/>
        <v/>
      </c>
      <c r="I887" s="55"/>
    </row>
    <row r="888">
      <c r="A888" s="67"/>
      <c r="B888" s="73"/>
      <c r="C888" s="74"/>
      <c r="D888" s="75"/>
      <c r="E888" s="76"/>
      <c r="F888" s="75"/>
      <c r="G888" s="62"/>
      <c r="H888" s="63" t="str">
        <f t="shared" si="1"/>
        <v/>
      </c>
      <c r="I888" s="55"/>
    </row>
    <row r="889">
      <c r="A889" s="67"/>
      <c r="B889" s="73"/>
      <c r="C889" s="74"/>
      <c r="D889" s="75"/>
      <c r="E889" s="76"/>
      <c r="F889" s="75"/>
      <c r="G889" s="62"/>
      <c r="H889" s="63" t="str">
        <f t="shared" si="1"/>
        <v/>
      </c>
      <c r="I889" s="55"/>
    </row>
    <row r="890">
      <c r="A890" s="67"/>
      <c r="B890" s="73"/>
      <c r="C890" s="74"/>
      <c r="D890" s="75"/>
      <c r="E890" s="76"/>
      <c r="F890" s="75"/>
      <c r="G890" s="62"/>
      <c r="H890" s="63" t="str">
        <f t="shared" si="1"/>
        <v/>
      </c>
      <c r="I890" s="55"/>
    </row>
    <row r="891">
      <c r="A891" s="67"/>
      <c r="B891" s="73"/>
      <c r="C891" s="74"/>
      <c r="D891" s="75"/>
      <c r="E891" s="76"/>
      <c r="F891" s="75"/>
      <c r="G891" s="62"/>
      <c r="H891" s="63" t="str">
        <f t="shared" si="1"/>
        <v/>
      </c>
      <c r="I891" s="55"/>
    </row>
    <row r="892">
      <c r="A892" s="67"/>
      <c r="B892" s="73"/>
      <c r="C892" s="74"/>
      <c r="D892" s="75"/>
      <c r="E892" s="76"/>
      <c r="F892" s="75"/>
      <c r="G892" s="62"/>
      <c r="H892" s="63" t="str">
        <f t="shared" si="1"/>
        <v/>
      </c>
      <c r="I892" s="55"/>
    </row>
    <row r="893">
      <c r="A893" s="67"/>
      <c r="B893" s="73"/>
      <c r="C893" s="74"/>
      <c r="D893" s="75"/>
      <c r="E893" s="76"/>
      <c r="F893" s="75"/>
      <c r="G893" s="62"/>
      <c r="H893" s="63" t="str">
        <f t="shared" si="1"/>
        <v/>
      </c>
      <c r="I893" s="55"/>
    </row>
    <row r="894">
      <c r="A894" s="67"/>
      <c r="B894" s="73"/>
      <c r="C894" s="74"/>
      <c r="D894" s="75"/>
      <c r="E894" s="76"/>
      <c r="F894" s="75"/>
      <c r="G894" s="62"/>
      <c r="H894" s="63" t="str">
        <f t="shared" si="1"/>
        <v/>
      </c>
      <c r="I894" s="55"/>
    </row>
    <row r="895">
      <c r="A895" s="67"/>
      <c r="B895" s="73"/>
      <c r="C895" s="74"/>
      <c r="D895" s="75"/>
      <c r="E895" s="76"/>
      <c r="F895" s="75"/>
      <c r="G895" s="62"/>
      <c r="H895" s="63" t="str">
        <f t="shared" si="1"/>
        <v/>
      </c>
      <c r="I895" s="55"/>
    </row>
    <row r="896">
      <c r="A896" s="67"/>
      <c r="B896" s="73"/>
      <c r="C896" s="74"/>
      <c r="D896" s="75"/>
      <c r="E896" s="76"/>
      <c r="F896" s="75"/>
      <c r="G896" s="62"/>
      <c r="H896" s="63" t="str">
        <f t="shared" si="1"/>
        <v/>
      </c>
      <c r="I896" s="55"/>
    </row>
    <row r="897">
      <c r="A897" s="67"/>
      <c r="B897" s="73"/>
      <c r="C897" s="74"/>
      <c r="D897" s="75"/>
      <c r="E897" s="76"/>
      <c r="F897" s="75"/>
      <c r="G897" s="62"/>
      <c r="H897" s="63" t="str">
        <f t="shared" si="1"/>
        <v/>
      </c>
      <c r="I897" s="55"/>
    </row>
    <row r="898">
      <c r="A898" s="67"/>
      <c r="B898" s="73"/>
      <c r="C898" s="74"/>
      <c r="D898" s="75"/>
      <c r="E898" s="76"/>
      <c r="F898" s="75"/>
      <c r="G898" s="62"/>
      <c r="H898" s="63" t="str">
        <f t="shared" si="1"/>
        <v/>
      </c>
      <c r="I898" s="55"/>
    </row>
    <row r="899">
      <c r="A899" s="67"/>
      <c r="B899" s="73"/>
      <c r="C899" s="74"/>
      <c r="D899" s="75"/>
      <c r="E899" s="76"/>
      <c r="F899" s="75"/>
      <c r="G899" s="62"/>
      <c r="H899" s="63" t="str">
        <f t="shared" si="1"/>
        <v/>
      </c>
      <c r="I899" s="55"/>
    </row>
    <row r="900">
      <c r="A900" s="67"/>
      <c r="B900" s="73"/>
      <c r="C900" s="74"/>
      <c r="D900" s="75"/>
      <c r="E900" s="76"/>
      <c r="F900" s="75"/>
      <c r="G900" s="62"/>
      <c r="H900" s="63" t="str">
        <f t="shared" si="1"/>
        <v/>
      </c>
      <c r="I900" s="55"/>
    </row>
    <row r="901">
      <c r="A901" s="67"/>
      <c r="B901" s="73"/>
      <c r="C901" s="74"/>
      <c r="D901" s="75"/>
      <c r="E901" s="76"/>
      <c r="F901" s="75"/>
      <c r="G901" s="62"/>
      <c r="H901" s="63" t="str">
        <f t="shared" si="1"/>
        <v/>
      </c>
      <c r="I901" s="55"/>
    </row>
    <row r="902">
      <c r="A902" s="67"/>
      <c r="B902" s="73"/>
      <c r="C902" s="74"/>
      <c r="D902" s="75"/>
      <c r="E902" s="76"/>
      <c r="F902" s="75"/>
      <c r="G902" s="62"/>
      <c r="H902" s="63" t="str">
        <f t="shared" si="1"/>
        <v/>
      </c>
      <c r="I902" s="55"/>
    </row>
    <row r="903">
      <c r="A903" s="67"/>
      <c r="B903" s="73"/>
      <c r="C903" s="74"/>
      <c r="D903" s="75"/>
      <c r="E903" s="76"/>
      <c r="F903" s="75"/>
      <c r="G903" s="62"/>
      <c r="H903" s="63" t="str">
        <f t="shared" si="1"/>
        <v/>
      </c>
      <c r="I903" s="55"/>
    </row>
    <row r="904">
      <c r="A904" s="67"/>
      <c r="B904" s="73"/>
      <c r="C904" s="74"/>
      <c r="D904" s="75"/>
      <c r="E904" s="76"/>
      <c r="F904" s="75"/>
      <c r="G904" s="62"/>
      <c r="H904" s="63" t="str">
        <f t="shared" si="1"/>
        <v/>
      </c>
      <c r="I904" s="55"/>
    </row>
    <row r="905">
      <c r="A905" s="67"/>
      <c r="B905" s="73"/>
      <c r="C905" s="74"/>
      <c r="D905" s="75"/>
      <c r="E905" s="76"/>
      <c r="F905" s="75"/>
      <c r="G905" s="62"/>
      <c r="H905" s="63" t="str">
        <f t="shared" si="1"/>
        <v/>
      </c>
      <c r="I905" s="55"/>
    </row>
    <row r="906">
      <c r="A906" s="67"/>
      <c r="B906" s="73"/>
      <c r="C906" s="74"/>
      <c r="D906" s="75"/>
      <c r="E906" s="76"/>
      <c r="F906" s="75"/>
      <c r="G906" s="62"/>
      <c r="H906" s="63" t="str">
        <f t="shared" si="1"/>
        <v/>
      </c>
      <c r="I906" s="55"/>
    </row>
    <row r="907">
      <c r="A907" s="67"/>
      <c r="B907" s="73"/>
      <c r="C907" s="74"/>
      <c r="D907" s="75"/>
      <c r="E907" s="76"/>
      <c r="F907" s="75"/>
      <c r="G907" s="62"/>
      <c r="H907" s="63" t="str">
        <f t="shared" si="1"/>
        <v/>
      </c>
      <c r="I907" s="55"/>
    </row>
    <row r="908">
      <c r="A908" s="67"/>
      <c r="B908" s="73"/>
      <c r="C908" s="74"/>
      <c r="D908" s="75"/>
      <c r="E908" s="76"/>
      <c r="F908" s="75"/>
      <c r="G908" s="62"/>
      <c r="H908" s="63" t="str">
        <f t="shared" si="1"/>
        <v/>
      </c>
      <c r="I908" s="55"/>
    </row>
    <row r="909">
      <c r="A909" s="67"/>
      <c r="B909" s="73"/>
      <c r="C909" s="74"/>
      <c r="D909" s="75"/>
      <c r="E909" s="76"/>
      <c r="F909" s="75"/>
      <c r="G909" s="62"/>
      <c r="H909" s="63" t="str">
        <f t="shared" si="1"/>
        <v/>
      </c>
      <c r="I909" s="55"/>
    </row>
    <row r="910">
      <c r="A910" s="67"/>
      <c r="B910" s="73"/>
      <c r="C910" s="74"/>
      <c r="D910" s="75"/>
      <c r="E910" s="76"/>
      <c r="F910" s="75"/>
      <c r="G910" s="62"/>
      <c r="H910" s="63" t="str">
        <f t="shared" si="1"/>
        <v/>
      </c>
      <c r="I910" s="55"/>
    </row>
    <row r="911">
      <c r="A911" s="67"/>
      <c r="B911" s="73"/>
      <c r="C911" s="74"/>
      <c r="D911" s="75"/>
      <c r="E911" s="76"/>
      <c r="F911" s="75"/>
      <c r="G911" s="62"/>
      <c r="H911" s="63" t="str">
        <f t="shared" si="1"/>
        <v/>
      </c>
      <c r="I911" s="55"/>
    </row>
    <row r="912">
      <c r="A912" s="67"/>
      <c r="B912" s="73"/>
      <c r="C912" s="74"/>
      <c r="D912" s="75"/>
      <c r="E912" s="76"/>
      <c r="F912" s="75"/>
      <c r="G912" s="62"/>
      <c r="H912" s="63" t="str">
        <f t="shared" si="1"/>
        <v/>
      </c>
      <c r="I912" s="55"/>
    </row>
    <row r="913">
      <c r="A913" s="67"/>
      <c r="B913" s="73"/>
      <c r="C913" s="74"/>
      <c r="D913" s="75"/>
      <c r="E913" s="76"/>
      <c r="F913" s="75"/>
      <c r="G913" s="62"/>
      <c r="H913" s="63" t="str">
        <f t="shared" si="1"/>
        <v/>
      </c>
      <c r="I913" s="55"/>
    </row>
    <row r="914">
      <c r="A914" s="67"/>
      <c r="B914" s="73"/>
      <c r="C914" s="74"/>
      <c r="D914" s="75"/>
      <c r="E914" s="76"/>
      <c r="F914" s="75"/>
      <c r="G914" s="62"/>
      <c r="H914" s="63" t="str">
        <f t="shared" si="1"/>
        <v/>
      </c>
      <c r="I914" s="55"/>
    </row>
    <row r="915">
      <c r="A915" s="67"/>
      <c r="B915" s="73"/>
      <c r="C915" s="74"/>
      <c r="D915" s="75"/>
      <c r="E915" s="76"/>
      <c r="F915" s="75"/>
      <c r="G915" s="62"/>
      <c r="H915" s="63" t="str">
        <f t="shared" si="1"/>
        <v/>
      </c>
      <c r="I915" s="55"/>
    </row>
    <row r="916">
      <c r="A916" s="67"/>
      <c r="B916" s="73"/>
      <c r="C916" s="74"/>
      <c r="D916" s="75"/>
      <c r="E916" s="76"/>
      <c r="F916" s="75"/>
      <c r="G916" s="62"/>
      <c r="H916" s="63" t="str">
        <f t="shared" si="1"/>
        <v/>
      </c>
      <c r="I916" s="55"/>
    </row>
    <row r="917">
      <c r="A917" s="67"/>
      <c r="B917" s="73"/>
      <c r="C917" s="74"/>
      <c r="D917" s="75"/>
      <c r="E917" s="76"/>
      <c r="F917" s="75"/>
      <c r="G917" s="62"/>
      <c r="H917" s="63" t="str">
        <f t="shared" si="1"/>
        <v/>
      </c>
      <c r="I917" s="55"/>
    </row>
    <row r="918">
      <c r="A918" s="67"/>
      <c r="B918" s="73"/>
      <c r="C918" s="74"/>
      <c r="D918" s="75"/>
      <c r="E918" s="76"/>
      <c r="F918" s="75"/>
      <c r="G918" s="62"/>
      <c r="H918" s="63" t="str">
        <f t="shared" si="1"/>
        <v/>
      </c>
      <c r="I918" s="55"/>
    </row>
    <row r="919">
      <c r="A919" s="67"/>
      <c r="B919" s="73"/>
      <c r="C919" s="74"/>
      <c r="D919" s="75"/>
      <c r="E919" s="76"/>
      <c r="F919" s="75"/>
      <c r="G919" s="62"/>
      <c r="H919" s="63" t="str">
        <f t="shared" si="1"/>
        <v/>
      </c>
      <c r="I919" s="55"/>
    </row>
    <row r="920">
      <c r="A920" s="67"/>
      <c r="B920" s="73"/>
      <c r="C920" s="74"/>
      <c r="D920" s="75"/>
      <c r="E920" s="76"/>
      <c r="F920" s="75"/>
      <c r="G920" s="62"/>
      <c r="H920" s="63" t="str">
        <f t="shared" si="1"/>
        <v/>
      </c>
      <c r="I920" s="55"/>
    </row>
    <row r="921">
      <c r="A921" s="67"/>
      <c r="B921" s="73"/>
      <c r="C921" s="74"/>
      <c r="D921" s="75"/>
      <c r="E921" s="76"/>
      <c r="F921" s="75"/>
      <c r="G921" s="62"/>
      <c r="H921" s="63" t="str">
        <f t="shared" si="1"/>
        <v/>
      </c>
      <c r="I921" s="55"/>
    </row>
    <row r="922">
      <c r="A922" s="67"/>
      <c r="B922" s="73"/>
      <c r="C922" s="74"/>
      <c r="D922" s="75"/>
      <c r="E922" s="76"/>
      <c r="F922" s="75"/>
      <c r="G922" s="62"/>
      <c r="H922" s="63" t="str">
        <f t="shared" si="1"/>
        <v/>
      </c>
      <c r="I922" s="55"/>
    </row>
    <row r="923">
      <c r="A923" s="67"/>
      <c r="B923" s="73"/>
      <c r="C923" s="74"/>
      <c r="D923" s="75"/>
      <c r="E923" s="76"/>
      <c r="F923" s="75"/>
      <c r="G923" s="62"/>
      <c r="H923" s="63" t="str">
        <f t="shared" si="1"/>
        <v/>
      </c>
      <c r="I923" s="55"/>
    </row>
    <row r="924">
      <c r="A924" s="67"/>
      <c r="B924" s="73"/>
      <c r="C924" s="74"/>
      <c r="D924" s="75"/>
      <c r="E924" s="76"/>
      <c r="F924" s="75"/>
      <c r="G924" s="62"/>
      <c r="H924" s="63" t="str">
        <f t="shared" si="1"/>
        <v/>
      </c>
      <c r="I924" s="55"/>
    </row>
    <row r="925">
      <c r="A925" s="67"/>
      <c r="B925" s="73"/>
      <c r="C925" s="74"/>
      <c r="D925" s="75"/>
      <c r="E925" s="76"/>
      <c r="F925" s="75"/>
      <c r="G925" s="62"/>
      <c r="H925" s="63" t="str">
        <f t="shared" si="1"/>
        <v/>
      </c>
      <c r="I925" s="55"/>
    </row>
    <row r="926">
      <c r="A926" s="67"/>
      <c r="B926" s="73"/>
      <c r="C926" s="74"/>
      <c r="D926" s="75"/>
      <c r="E926" s="76"/>
      <c r="F926" s="75"/>
      <c r="G926" s="62"/>
      <c r="H926" s="63" t="str">
        <f t="shared" si="1"/>
        <v/>
      </c>
      <c r="I926" s="55"/>
    </row>
    <row r="927">
      <c r="A927" s="67"/>
      <c r="B927" s="73"/>
      <c r="C927" s="74"/>
      <c r="D927" s="75"/>
      <c r="E927" s="76"/>
      <c r="F927" s="75"/>
      <c r="G927" s="62"/>
      <c r="H927" s="63" t="str">
        <f t="shared" si="1"/>
        <v/>
      </c>
      <c r="I927" s="55"/>
    </row>
    <row r="928">
      <c r="A928" s="67"/>
      <c r="B928" s="73"/>
      <c r="C928" s="74"/>
      <c r="D928" s="75"/>
      <c r="E928" s="76"/>
      <c r="F928" s="75"/>
      <c r="G928" s="62"/>
      <c r="H928" s="63" t="str">
        <f t="shared" si="1"/>
        <v/>
      </c>
      <c r="I928" s="55"/>
    </row>
    <row r="929">
      <c r="A929" s="67"/>
      <c r="B929" s="73"/>
      <c r="C929" s="74"/>
      <c r="D929" s="75"/>
      <c r="E929" s="76"/>
      <c r="F929" s="75"/>
      <c r="G929" s="62"/>
      <c r="H929" s="63" t="str">
        <f t="shared" si="1"/>
        <v/>
      </c>
      <c r="I929" s="55"/>
    </row>
    <row r="930">
      <c r="A930" s="67"/>
      <c r="B930" s="73"/>
      <c r="C930" s="74"/>
      <c r="D930" s="75"/>
      <c r="E930" s="76"/>
      <c r="F930" s="75"/>
      <c r="G930" s="62"/>
      <c r="H930" s="63" t="str">
        <f t="shared" si="1"/>
        <v/>
      </c>
      <c r="I930" s="55"/>
    </row>
    <row r="931">
      <c r="A931" s="67"/>
      <c r="B931" s="73"/>
      <c r="C931" s="74"/>
      <c r="D931" s="75"/>
      <c r="E931" s="76"/>
      <c r="F931" s="75"/>
      <c r="G931" s="62"/>
      <c r="H931" s="63" t="str">
        <f t="shared" si="1"/>
        <v/>
      </c>
      <c r="I931" s="55"/>
    </row>
    <row r="932">
      <c r="A932" s="67"/>
      <c r="B932" s="73"/>
      <c r="C932" s="74"/>
      <c r="D932" s="75"/>
      <c r="E932" s="76"/>
      <c r="F932" s="75"/>
      <c r="G932" s="62"/>
      <c r="H932" s="63" t="str">
        <f t="shared" si="1"/>
        <v/>
      </c>
      <c r="I932" s="55"/>
    </row>
    <row r="933">
      <c r="A933" s="67"/>
      <c r="B933" s="73"/>
      <c r="C933" s="74"/>
      <c r="D933" s="75"/>
      <c r="E933" s="76"/>
      <c r="F933" s="75"/>
      <c r="G933" s="62"/>
      <c r="H933" s="63" t="str">
        <f t="shared" si="1"/>
        <v/>
      </c>
      <c r="I933" s="55"/>
    </row>
    <row r="934">
      <c r="A934" s="67"/>
      <c r="B934" s="73"/>
      <c r="C934" s="74"/>
      <c r="D934" s="75"/>
      <c r="E934" s="76"/>
      <c r="F934" s="75"/>
      <c r="G934" s="62"/>
      <c r="H934" s="63" t="str">
        <f t="shared" si="1"/>
        <v/>
      </c>
      <c r="I934" s="55"/>
    </row>
    <row r="935">
      <c r="A935" s="67"/>
      <c r="B935" s="73"/>
      <c r="C935" s="74"/>
      <c r="D935" s="75"/>
      <c r="E935" s="76"/>
      <c r="F935" s="75"/>
      <c r="G935" s="62"/>
      <c r="H935" s="63" t="str">
        <f t="shared" si="1"/>
        <v/>
      </c>
      <c r="I935" s="55"/>
    </row>
    <row r="936">
      <c r="A936" s="67"/>
      <c r="B936" s="73"/>
      <c r="C936" s="74"/>
      <c r="D936" s="75"/>
      <c r="E936" s="76"/>
      <c r="F936" s="75"/>
      <c r="G936" s="62"/>
      <c r="H936" s="63" t="str">
        <f t="shared" si="1"/>
        <v/>
      </c>
      <c r="I936" s="55"/>
    </row>
    <row r="937">
      <c r="A937" s="67"/>
      <c r="B937" s="73"/>
      <c r="C937" s="74"/>
      <c r="D937" s="75"/>
      <c r="E937" s="76"/>
      <c r="F937" s="75"/>
      <c r="G937" s="62"/>
      <c r="H937" s="63" t="str">
        <f t="shared" si="1"/>
        <v/>
      </c>
      <c r="I937" s="55"/>
    </row>
    <row r="938">
      <c r="A938" s="67"/>
      <c r="B938" s="73"/>
      <c r="C938" s="74"/>
      <c r="D938" s="75"/>
      <c r="E938" s="76"/>
      <c r="F938" s="75"/>
      <c r="G938" s="62"/>
      <c r="H938" s="63" t="str">
        <f t="shared" si="1"/>
        <v/>
      </c>
      <c r="I938" s="55"/>
    </row>
    <row r="939">
      <c r="A939" s="67"/>
      <c r="B939" s="73"/>
      <c r="C939" s="74"/>
      <c r="D939" s="75"/>
      <c r="E939" s="76"/>
      <c r="F939" s="75"/>
      <c r="G939" s="62"/>
      <c r="H939" s="63" t="str">
        <f t="shared" si="1"/>
        <v/>
      </c>
      <c r="I939" s="55"/>
    </row>
    <row r="940">
      <c r="A940" s="67"/>
      <c r="B940" s="73"/>
      <c r="C940" s="74"/>
      <c r="D940" s="75"/>
      <c r="E940" s="76"/>
      <c r="F940" s="75"/>
      <c r="G940" s="62"/>
      <c r="H940" s="63" t="str">
        <f t="shared" si="1"/>
        <v/>
      </c>
      <c r="I940" s="55"/>
    </row>
    <row r="941">
      <c r="A941" s="67"/>
      <c r="B941" s="73"/>
      <c r="C941" s="74"/>
      <c r="D941" s="75"/>
      <c r="E941" s="76"/>
      <c r="F941" s="75"/>
      <c r="G941" s="62"/>
      <c r="H941" s="63" t="str">
        <f t="shared" si="1"/>
        <v/>
      </c>
      <c r="I941" s="55"/>
    </row>
    <row r="942">
      <c r="A942" s="67"/>
      <c r="B942" s="73"/>
      <c r="C942" s="74"/>
      <c r="D942" s="75"/>
      <c r="E942" s="76"/>
      <c r="F942" s="75"/>
      <c r="G942" s="62"/>
      <c r="H942" s="63" t="str">
        <f t="shared" si="1"/>
        <v/>
      </c>
      <c r="I942" s="55"/>
    </row>
    <row r="943">
      <c r="A943" s="67"/>
      <c r="B943" s="73"/>
      <c r="C943" s="74"/>
      <c r="D943" s="75"/>
      <c r="E943" s="76"/>
      <c r="F943" s="75"/>
      <c r="G943" s="62"/>
      <c r="H943" s="63" t="str">
        <f t="shared" si="1"/>
        <v/>
      </c>
      <c r="I943" s="55"/>
    </row>
    <row r="944">
      <c r="A944" s="67"/>
      <c r="B944" s="73"/>
      <c r="C944" s="74"/>
      <c r="D944" s="75"/>
      <c r="E944" s="76"/>
      <c r="F944" s="75"/>
      <c r="G944" s="62"/>
      <c r="H944" s="63" t="str">
        <f t="shared" si="1"/>
        <v/>
      </c>
      <c r="I944" s="55"/>
    </row>
    <row r="945">
      <c r="A945" s="67"/>
      <c r="B945" s="73"/>
      <c r="C945" s="74"/>
      <c r="D945" s="75"/>
      <c r="E945" s="76"/>
      <c r="F945" s="75"/>
      <c r="G945" s="62"/>
      <c r="H945" s="63" t="str">
        <f t="shared" si="1"/>
        <v/>
      </c>
      <c r="I945" s="55"/>
    </row>
    <row r="946">
      <c r="A946" s="67"/>
      <c r="B946" s="73"/>
      <c r="C946" s="74"/>
      <c r="D946" s="75"/>
      <c r="E946" s="76"/>
      <c r="F946" s="75"/>
      <c r="G946" s="62"/>
      <c r="H946" s="63" t="str">
        <f t="shared" si="1"/>
        <v/>
      </c>
      <c r="I946" s="55"/>
    </row>
    <row r="947">
      <c r="A947" s="67"/>
      <c r="B947" s="73"/>
      <c r="C947" s="74"/>
      <c r="D947" s="75"/>
      <c r="E947" s="76"/>
      <c r="F947" s="75"/>
      <c r="G947" s="62"/>
      <c r="H947" s="63" t="str">
        <f t="shared" si="1"/>
        <v/>
      </c>
      <c r="I947" s="55"/>
    </row>
    <row r="948">
      <c r="A948" s="67"/>
      <c r="B948" s="73"/>
      <c r="C948" s="74"/>
      <c r="D948" s="75"/>
      <c r="E948" s="76"/>
      <c r="F948" s="75"/>
      <c r="G948" s="62"/>
      <c r="H948" s="63" t="str">
        <f t="shared" si="1"/>
        <v/>
      </c>
      <c r="I948" s="55"/>
    </row>
    <row r="949">
      <c r="A949" s="67"/>
      <c r="B949" s="73"/>
      <c r="C949" s="74"/>
      <c r="D949" s="75"/>
      <c r="E949" s="76"/>
      <c r="F949" s="75"/>
      <c r="G949" s="62"/>
      <c r="H949" s="63" t="str">
        <f t="shared" si="1"/>
        <v/>
      </c>
      <c r="I949" s="55"/>
    </row>
    <row r="950">
      <c r="A950" s="67"/>
      <c r="B950" s="73"/>
      <c r="C950" s="74"/>
      <c r="D950" s="75"/>
      <c r="E950" s="76"/>
      <c r="F950" s="75"/>
      <c r="G950" s="62"/>
      <c r="H950" s="63" t="str">
        <f t="shared" si="1"/>
        <v/>
      </c>
      <c r="I950" s="55"/>
    </row>
    <row r="951">
      <c r="A951" s="67"/>
      <c r="B951" s="73"/>
      <c r="C951" s="74"/>
      <c r="D951" s="75"/>
      <c r="E951" s="76"/>
      <c r="F951" s="75"/>
      <c r="G951" s="62"/>
      <c r="H951" s="63" t="str">
        <f t="shared" si="1"/>
        <v/>
      </c>
      <c r="I951" s="55"/>
    </row>
    <row r="952">
      <c r="A952" s="67"/>
      <c r="B952" s="73"/>
      <c r="C952" s="74"/>
      <c r="D952" s="75"/>
      <c r="E952" s="76"/>
      <c r="F952" s="75"/>
      <c r="G952" s="62"/>
      <c r="H952" s="63" t="str">
        <f t="shared" si="1"/>
        <v/>
      </c>
      <c r="I952" s="55"/>
    </row>
    <row r="953">
      <c r="A953" s="67"/>
      <c r="B953" s="73"/>
      <c r="C953" s="74"/>
      <c r="D953" s="75"/>
      <c r="E953" s="76"/>
      <c r="F953" s="75"/>
      <c r="G953" s="62"/>
      <c r="H953" s="63" t="str">
        <f t="shared" si="1"/>
        <v/>
      </c>
      <c r="I953" s="55"/>
    </row>
    <row r="954">
      <c r="A954" s="67"/>
      <c r="B954" s="73"/>
      <c r="C954" s="74"/>
      <c r="D954" s="75"/>
      <c r="E954" s="76"/>
      <c r="F954" s="75"/>
      <c r="G954" s="62"/>
      <c r="H954" s="63" t="str">
        <f t="shared" si="1"/>
        <v/>
      </c>
      <c r="I954" s="55"/>
    </row>
    <row r="955">
      <c r="A955" s="67"/>
      <c r="B955" s="73"/>
      <c r="C955" s="74"/>
      <c r="D955" s="75"/>
      <c r="E955" s="76"/>
      <c r="F955" s="75"/>
      <c r="G955" s="62"/>
      <c r="H955" s="63" t="str">
        <f t="shared" si="1"/>
        <v/>
      </c>
      <c r="I955" s="55"/>
    </row>
    <row r="956">
      <c r="A956" s="67"/>
      <c r="B956" s="73"/>
      <c r="C956" s="74"/>
      <c r="D956" s="75"/>
      <c r="E956" s="76"/>
      <c r="F956" s="75"/>
      <c r="G956" s="62"/>
      <c r="H956" s="63" t="str">
        <f t="shared" si="1"/>
        <v/>
      </c>
      <c r="I956" s="55"/>
    </row>
    <row r="957">
      <c r="A957" s="67"/>
      <c r="B957" s="73"/>
      <c r="C957" s="74"/>
      <c r="D957" s="75"/>
      <c r="E957" s="76"/>
      <c r="F957" s="75"/>
      <c r="G957" s="62"/>
      <c r="H957" s="63" t="str">
        <f t="shared" si="1"/>
        <v/>
      </c>
      <c r="I957" s="55"/>
    </row>
    <row r="958">
      <c r="A958" s="67"/>
      <c r="B958" s="73"/>
      <c r="C958" s="74"/>
      <c r="D958" s="75"/>
      <c r="E958" s="76"/>
      <c r="F958" s="75"/>
      <c r="G958" s="62"/>
      <c r="H958" s="63" t="str">
        <f t="shared" si="1"/>
        <v/>
      </c>
      <c r="I958" s="55"/>
    </row>
    <row r="959">
      <c r="A959" s="67"/>
      <c r="B959" s="73"/>
      <c r="C959" s="74"/>
      <c r="D959" s="75"/>
      <c r="E959" s="76"/>
      <c r="F959" s="75"/>
      <c r="G959" s="62"/>
      <c r="H959" s="63" t="str">
        <f t="shared" si="1"/>
        <v/>
      </c>
      <c r="I959" s="55"/>
    </row>
    <row r="960">
      <c r="A960" s="67"/>
      <c r="B960" s="73"/>
      <c r="C960" s="74"/>
      <c r="D960" s="75"/>
      <c r="E960" s="76"/>
      <c r="F960" s="75"/>
      <c r="G960" s="62"/>
      <c r="H960" s="63" t="str">
        <f t="shared" si="1"/>
        <v/>
      </c>
      <c r="I960" s="55"/>
    </row>
    <row r="961">
      <c r="A961" s="67"/>
      <c r="B961" s="73"/>
      <c r="C961" s="74"/>
      <c r="D961" s="75"/>
      <c r="E961" s="76"/>
      <c r="F961" s="75"/>
      <c r="G961" s="62"/>
      <c r="H961" s="63" t="str">
        <f t="shared" si="1"/>
        <v/>
      </c>
      <c r="I961" s="55"/>
    </row>
    <row r="962">
      <c r="A962" s="67"/>
      <c r="B962" s="73"/>
      <c r="C962" s="74"/>
      <c r="D962" s="75"/>
      <c r="E962" s="76"/>
      <c r="F962" s="75"/>
      <c r="G962" s="62"/>
      <c r="H962" s="63" t="str">
        <f t="shared" si="1"/>
        <v/>
      </c>
      <c r="I962" s="55"/>
    </row>
    <row r="963">
      <c r="A963" s="67"/>
      <c r="B963" s="73"/>
      <c r="C963" s="74"/>
      <c r="D963" s="75"/>
      <c r="E963" s="76"/>
      <c r="F963" s="75"/>
      <c r="G963" s="62"/>
      <c r="H963" s="63" t="str">
        <f t="shared" si="1"/>
        <v/>
      </c>
      <c r="I963" s="55"/>
    </row>
    <row r="964">
      <c r="A964" s="67"/>
      <c r="B964" s="73"/>
      <c r="C964" s="74"/>
      <c r="D964" s="75"/>
      <c r="E964" s="76"/>
      <c r="F964" s="75"/>
      <c r="G964" s="62"/>
      <c r="H964" s="63" t="str">
        <f t="shared" si="1"/>
        <v/>
      </c>
      <c r="I964" s="55"/>
    </row>
    <row r="965">
      <c r="A965" s="67"/>
      <c r="B965" s="73"/>
      <c r="C965" s="74"/>
      <c r="D965" s="75"/>
      <c r="E965" s="76"/>
      <c r="F965" s="75"/>
      <c r="G965" s="62"/>
      <c r="H965" s="63" t="str">
        <f t="shared" si="1"/>
        <v/>
      </c>
      <c r="I965" s="55"/>
    </row>
    <row r="966">
      <c r="A966" s="67"/>
      <c r="B966" s="73"/>
      <c r="C966" s="74"/>
      <c r="D966" s="75"/>
      <c r="E966" s="76"/>
      <c r="F966" s="75"/>
      <c r="G966" s="62"/>
      <c r="H966" s="63" t="str">
        <f t="shared" si="1"/>
        <v/>
      </c>
      <c r="I966" s="55"/>
    </row>
    <row r="967">
      <c r="A967" s="67"/>
      <c r="B967" s="73"/>
      <c r="C967" s="74"/>
      <c r="D967" s="75"/>
      <c r="E967" s="76"/>
      <c r="F967" s="75"/>
      <c r="G967" s="62"/>
      <c r="H967" s="63" t="str">
        <f t="shared" si="1"/>
        <v/>
      </c>
      <c r="I967" s="55"/>
    </row>
    <row r="968">
      <c r="A968" s="67"/>
      <c r="B968" s="73"/>
      <c r="C968" s="74"/>
      <c r="D968" s="75"/>
      <c r="E968" s="76"/>
      <c r="F968" s="75"/>
      <c r="G968" s="62"/>
      <c r="H968" s="63" t="str">
        <f t="shared" si="1"/>
        <v/>
      </c>
      <c r="I968" s="55"/>
    </row>
    <row r="969">
      <c r="A969" s="67"/>
      <c r="B969" s="73"/>
      <c r="C969" s="74"/>
      <c r="D969" s="75"/>
      <c r="E969" s="76"/>
      <c r="F969" s="75"/>
      <c r="G969" s="62"/>
      <c r="H969" s="63" t="str">
        <f t="shared" si="1"/>
        <v/>
      </c>
      <c r="I969" s="55"/>
    </row>
    <row r="970">
      <c r="A970" s="67"/>
      <c r="B970" s="73"/>
      <c r="C970" s="74"/>
      <c r="D970" s="75"/>
      <c r="E970" s="76"/>
      <c r="F970" s="75"/>
      <c r="G970" s="62"/>
      <c r="H970" s="63" t="str">
        <f t="shared" si="1"/>
        <v/>
      </c>
      <c r="I970" s="55"/>
    </row>
    <row r="971">
      <c r="A971" s="67"/>
      <c r="B971" s="73"/>
      <c r="C971" s="74"/>
      <c r="D971" s="75"/>
      <c r="E971" s="76"/>
      <c r="F971" s="75"/>
      <c r="G971" s="62"/>
      <c r="H971" s="63" t="str">
        <f t="shared" si="1"/>
        <v/>
      </c>
      <c r="I971" s="55"/>
    </row>
    <row r="972">
      <c r="A972" s="67"/>
      <c r="B972" s="73"/>
      <c r="C972" s="74"/>
      <c r="D972" s="75"/>
      <c r="E972" s="76"/>
      <c r="F972" s="75"/>
      <c r="G972" s="62"/>
      <c r="H972" s="63" t="str">
        <f t="shared" si="1"/>
        <v/>
      </c>
      <c r="I972" s="55"/>
    </row>
    <row r="973">
      <c r="A973" s="67"/>
      <c r="B973" s="73"/>
      <c r="C973" s="74"/>
      <c r="D973" s="75"/>
      <c r="E973" s="76"/>
      <c r="F973" s="75"/>
      <c r="G973" s="62"/>
      <c r="H973" s="63" t="str">
        <f t="shared" si="1"/>
        <v/>
      </c>
      <c r="I973" s="55"/>
    </row>
    <row r="974">
      <c r="A974" s="67"/>
      <c r="B974" s="73"/>
      <c r="C974" s="74"/>
      <c r="D974" s="75"/>
      <c r="E974" s="76"/>
      <c r="F974" s="75"/>
      <c r="G974" s="62"/>
      <c r="H974" s="63" t="str">
        <f t="shared" si="1"/>
        <v/>
      </c>
      <c r="I974" s="55"/>
    </row>
    <row r="975">
      <c r="A975" s="67"/>
      <c r="B975" s="73"/>
      <c r="C975" s="74"/>
      <c r="D975" s="75"/>
      <c r="E975" s="76"/>
      <c r="F975" s="75"/>
      <c r="G975" s="62"/>
      <c r="H975" s="63" t="str">
        <f t="shared" si="1"/>
        <v/>
      </c>
      <c r="I975" s="55"/>
    </row>
    <row r="976">
      <c r="A976" s="67"/>
      <c r="B976" s="73"/>
      <c r="C976" s="74"/>
      <c r="D976" s="75"/>
      <c r="E976" s="76"/>
      <c r="F976" s="75"/>
      <c r="G976" s="62"/>
      <c r="H976" s="63" t="str">
        <f t="shared" si="1"/>
        <v/>
      </c>
      <c r="I976" s="55"/>
    </row>
    <row r="977">
      <c r="A977" s="67"/>
      <c r="B977" s="73"/>
      <c r="C977" s="74"/>
      <c r="D977" s="75"/>
      <c r="E977" s="76"/>
      <c r="F977" s="75"/>
      <c r="G977" s="62"/>
      <c r="H977" s="63" t="str">
        <f t="shared" si="1"/>
        <v/>
      </c>
      <c r="I977" s="55"/>
    </row>
    <row r="978">
      <c r="A978" s="67"/>
      <c r="B978" s="73"/>
      <c r="C978" s="74"/>
      <c r="D978" s="75"/>
      <c r="E978" s="76"/>
      <c r="F978" s="75"/>
      <c r="G978" s="62"/>
      <c r="H978" s="63" t="str">
        <f t="shared" si="1"/>
        <v/>
      </c>
      <c r="I978" s="55"/>
    </row>
    <row r="979">
      <c r="A979" s="67"/>
      <c r="B979" s="73"/>
      <c r="C979" s="74"/>
      <c r="D979" s="75"/>
      <c r="E979" s="76"/>
      <c r="F979" s="75"/>
      <c r="G979" s="62"/>
      <c r="H979" s="63" t="str">
        <f t="shared" si="1"/>
        <v/>
      </c>
      <c r="I979" s="55"/>
    </row>
    <row r="980">
      <c r="A980" s="67"/>
      <c r="B980" s="73"/>
      <c r="C980" s="74"/>
      <c r="D980" s="75"/>
      <c r="E980" s="76"/>
      <c r="F980" s="75"/>
      <c r="G980" s="62"/>
      <c r="H980" s="63" t="str">
        <f t="shared" si="1"/>
        <v/>
      </c>
      <c r="I980" s="55"/>
    </row>
    <row r="981">
      <c r="A981" s="67"/>
      <c r="B981" s="73"/>
      <c r="C981" s="74"/>
      <c r="D981" s="75"/>
      <c r="E981" s="76"/>
      <c r="F981" s="75"/>
      <c r="G981" s="62"/>
      <c r="H981" s="63" t="str">
        <f t="shared" si="1"/>
        <v/>
      </c>
      <c r="I981" s="55"/>
    </row>
    <row r="982">
      <c r="A982" s="67"/>
      <c r="B982" s="73"/>
      <c r="C982" s="74"/>
      <c r="D982" s="75"/>
      <c r="E982" s="76"/>
      <c r="F982" s="75"/>
      <c r="G982" s="62"/>
      <c r="H982" s="63" t="str">
        <f t="shared" si="1"/>
        <v/>
      </c>
      <c r="I982" s="55"/>
    </row>
    <row r="983">
      <c r="A983" s="67"/>
      <c r="B983" s="73"/>
      <c r="C983" s="74"/>
      <c r="D983" s="75"/>
      <c r="E983" s="76"/>
      <c r="F983" s="75"/>
      <c r="G983" s="62"/>
      <c r="H983" s="63" t="str">
        <f t="shared" si="1"/>
        <v/>
      </c>
      <c r="I983" s="55"/>
    </row>
    <row r="984">
      <c r="A984" s="67"/>
      <c r="B984" s="73"/>
      <c r="C984" s="74"/>
      <c r="D984" s="75"/>
      <c r="E984" s="76"/>
      <c r="F984" s="75"/>
      <c r="G984" s="62"/>
      <c r="H984" s="63" t="str">
        <f t="shared" si="1"/>
        <v/>
      </c>
      <c r="I984" s="55"/>
    </row>
    <row r="985">
      <c r="A985" s="67"/>
      <c r="B985" s="73"/>
      <c r="C985" s="74"/>
      <c r="D985" s="75"/>
      <c r="E985" s="76"/>
      <c r="F985" s="75"/>
      <c r="G985" s="62"/>
      <c r="H985" s="63" t="str">
        <f t="shared" si="1"/>
        <v/>
      </c>
      <c r="I985" s="55"/>
    </row>
    <row r="986">
      <c r="A986" s="67"/>
      <c r="B986" s="73"/>
      <c r="C986" s="74"/>
      <c r="D986" s="75"/>
      <c r="E986" s="76"/>
      <c r="F986" s="75"/>
      <c r="G986" s="62"/>
      <c r="H986" s="63" t="str">
        <f t="shared" si="1"/>
        <v/>
      </c>
      <c r="I986" s="55"/>
    </row>
    <row r="987">
      <c r="A987" s="67"/>
      <c r="B987" s="73"/>
      <c r="C987" s="74"/>
      <c r="D987" s="75"/>
      <c r="E987" s="76"/>
      <c r="F987" s="75"/>
      <c r="G987" s="62"/>
      <c r="H987" s="63" t="str">
        <f t="shared" si="1"/>
        <v/>
      </c>
      <c r="I987" s="55"/>
    </row>
    <row r="988">
      <c r="A988" s="67"/>
      <c r="B988" s="73"/>
      <c r="C988" s="74"/>
      <c r="D988" s="75"/>
      <c r="E988" s="76"/>
      <c r="F988" s="75"/>
      <c r="G988" s="62"/>
      <c r="H988" s="63" t="str">
        <f t="shared" si="1"/>
        <v/>
      </c>
      <c r="I988" s="55"/>
    </row>
    <row r="989">
      <c r="A989" s="67"/>
      <c r="B989" s="73"/>
      <c r="C989" s="74"/>
      <c r="D989" s="75"/>
      <c r="E989" s="76"/>
      <c r="F989" s="75"/>
      <c r="G989" s="62"/>
      <c r="H989" s="63" t="str">
        <f t="shared" si="1"/>
        <v/>
      </c>
      <c r="I989" s="55"/>
    </row>
    <row r="990">
      <c r="A990" s="67"/>
      <c r="B990" s="73"/>
      <c r="C990" s="74"/>
      <c r="D990" s="75"/>
      <c r="E990" s="76"/>
      <c r="F990" s="75"/>
      <c r="G990" s="62"/>
      <c r="H990" s="63" t="str">
        <f t="shared" si="1"/>
        <v/>
      </c>
      <c r="I990" s="55"/>
    </row>
    <row r="991">
      <c r="A991" s="67"/>
      <c r="B991" s="73"/>
      <c r="C991" s="74"/>
      <c r="D991" s="75"/>
      <c r="E991" s="76"/>
      <c r="F991" s="75"/>
      <c r="G991" s="62"/>
      <c r="H991" s="63" t="str">
        <f t="shared" si="1"/>
        <v/>
      </c>
      <c r="I991" s="55"/>
    </row>
    <row r="992">
      <c r="A992" s="67"/>
      <c r="B992" s="73"/>
      <c r="C992" s="74"/>
      <c r="D992" s="75"/>
      <c r="E992" s="76"/>
      <c r="F992" s="75"/>
      <c r="G992" s="62"/>
      <c r="H992" s="63" t="str">
        <f t="shared" si="1"/>
        <v/>
      </c>
      <c r="I992" s="55"/>
    </row>
    <row r="993">
      <c r="A993" s="67"/>
      <c r="B993" s="73"/>
      <c r="C993" s="74"/>
      <c r="D993" s="75"/>
      <c r="E993" s="76"/>
      <c r="F993" s="75"/>
      <c r="G993" s="62"/>
      <c r="H993" s="63" t="str">
        <f t="shared" si="1"/>
        <v/>
      </c>
      <c r="I993" s="55"/>
    </row>
    <row r="994">
      <c r="A994" s="67"/>
      <c r="B994" s="73"/>
      <c r="C994" s="74"/>
      <c r="D994" s="75"/>
      <c r="E994" s="76"/>
      <c r="F994" s="75"/>
      <c r="G994" s="62"/>
      <c r="H994" s="63" t="str">
        <f t="shared" si="1"/>
        <v/>
      </c>
      <c r="I994" s="55"/>
    </row>
    <row r="995">
      <c r="A995" s="67"/>
      <c r="B995" s="73"/>
      <c r="C995" s="74"/>
      <c r="D995" s="75"/>
      <c r="E995" s="76"/>
      <c r="F995" s="75"/>
      <c r="G995" s="62"/>
      <c r="H995" s="63" t="str">
        <f t="shared" si="1"/>
        <v/>
      </c>
      <c r="I995" s="55"/>
    </row>
    <row r="996">
      <c r="A996" s="67"/>
      <c r="B996" s="73"/>
      <c r="C996" s="74"/>
      <c r="D996" s="75"/>
      <c r="E996" s="76"/>
      <c r="F996" s="75"/>
      <c r="G996" s="62"/>
      <c r="H996" s="63" t="str">
        <f t="shared" si="1"/>
        <v/>
      </c>
      <c r="I996" s="55"/>
    </row>
    <row r="997">
      <c r="A997" s="67"/>
      <c r="B997" s="73"/>
      <c r="C997" s="74"/>
      <c r="D997" s="75"/>
      <c r="E997" s="76"/>
      <c r="F997" s="75"/>
      <c r="G997" s="62"/>
      <c r="H997" s="63" t="str">
        <f t="shared" si="1"/>
        <v/>
      </c>
      <c r="I997" s="55"/>
    </row>
    <row r="998">
      <c r="A998" s="67"/>
      <c r="B998" s="73"/>
      <c r="C998" s="74"/>
      <c r="D998" s="75"/>
      <c r="E998" s="76"/>
      <c r="F998" s="75"/>
      <c r="G998" s="62"/>
      <c r="H998" s="63" t="str">
        <f t="shared" si="1"/>
        <v/>
      </c>
      <c r="I998" s="55"/>
    </row>
    <row r="999">
      <c r="A999" s="67"/>
      <c r="B999" s="73"/>
      <c r="C999" s="74"/>
      <c r="D999" s="75"/>
      <c r="E999" s="76"/>
      <c r="F999" s="75"/>
      <c r="G999" s="62"/>
      <c r="H999" s="63" t="str">
        <f t="shared" si="1"/>
        <v/>
      </c>
      <c r="I999" s="55"/>
    </row>
    <row r="1000">
      <c r="A1000" s="67"/>
      <c r="B1000" s="73"/>
      <c r="C1000" s="74"/>
      <c r="D1000" s="75"/>
      <c r="E1000" s="76"/>
      <c r="F1000" s="75"/>
      <c r="G1000" s="62"/>
      <c r="H1000" s="63" t="str">
        <f t="shared" si="1"/>
        <v/>
      </c>
      <c r="I1000" s="55"/>
    </row>
    <row r="1001">
      <c r="A1001" s="67"/>
      <c r="B1001" s="73"/>
      <c r="C1001" s="74"/>
      <c r="D1001" s="75"/>
      <c r="E1001" s="76"/>
      <c r="F1001" s="75"/>
      <c r="G1001" s="62"/>
      <c r="H1001" s="63" t="str">
        <f t="shared" si="1"/>
        <v/>
      </c>
      <c r="I1001" s="55"/>
    </row>
    <row r="1002">
      <c r="A1002" s="67"/>
      <c r="B1002" s="258"/>
      <c r="C1002" s="259"/>
      <c r="D1002" s="260"/>
      <c r="E1002" s="261"/>
      <c r="F1002" s="260"/>
      <c r="G1002" s="262"/>
      <c r="H1002" s="263" t="str">
        <f t="shared" si="1"/>
        <v/>
      </c>
      <c r="I1002" s="55"/>
    </row>
    <row r="1003">
      <c r="A1003" s="264"/>
      <c r="B1003" s="266"/>
      <c r="C1003" s="266"/>
      <c r="D1003" s="266"/>
      <c r="E1003" s="266"/>
      <c r="F1003" s="266"/>
      <c r="G1003" s="266"/>
      <c r="H1003" s="266"/>
      <c r="I1003" s="264"/>
    </row>
  </sheetData>
  <mergeCells count="2">
    <mergeCell ref="A1:I1"/>
    <mergeCell ref="B2:H2"/>
  </mergeCells>
  <dataValidations>
    <dataValidation type="list" allowBlank="1" showErrorMessage="1" sqref="G4:G1002">
      <formula1>Units!$B$4:$D$64</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E1CD"/>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25"/>
    <col customWidth="1" min="2" max="2" width="22.0"/>
    <col customWidth="1" min="3" max="3" width="16.38"/>
    <col customWidth="1" min="4" max="6" width="15.75"/>
    <col customWidth="1" min="7" max="8" width="9.5"/>
    <col customWidth="1" min="9" max="9" width="3.25"/>
  </cols>
  <sheetData>
    <row r="1" ht="6.0" customHeight="1">
      <c r="A1" s="1"/>
      <c r="B1" s="3"/>
      <c r="C1" s="3"/>
      <c r="D1" s="3"/>
      <c r="E1" s="3"/>
      <c r="F1" s="3"/>
      <c r="G1" s="3"/>
      <c r="H1" s="3"/>
      <c r="I1" s="4"/>
    </row>
    <row r="2">
      <c r="A2" s="7"/>
      <c r="B2" s="9"/>
      <c r="H2" s="10"/>
      <c r="I2" s="7"/>
    </row>
    <row r="3">
      <c r="A3" s="13"/>
      <c r="B3" s="17" t="s">
        <v>1</v>
      </c>
      <c r="C3" s="18" t="s">
        <v>3</v>
      </c>
      <c r="D3" s="21" t="s">
        <v>4</v>
      </c>
      <c r="E3" s="23" t="s">
        <v>7</v>
      </c>
      <c r="F3" s="21" t="s">
        <v>8</v>
      </c>
      <c r="G3" s="28" t="s">
        <v>9</v>
      </c>
      <c r="H3" s="31" t="s">
        <v>11</v>
      </c>
      <c r="I3" s="34"/>
    </row>
    <row r="4">
      <c r="A4" s="36"/>
      <c r="B4" s="37"/>
      <c r="C4" s="39"/>
      <c r="D4" s="43"/>
      <c r="E4" s="45"/>
      <c r="F4" s="43"/>
      <c r="G4" s="48"/>
      <c r="H4" s="54" t="str">
        <f t="shared" ref="H4:H1002" si="1">IF(E4="","",(D4+F4)/E4)</f>
        <v/>
      </c>
      <c r="I4" s="55"/>
    </row>
    <row r="5">
      <c r="A5" s="36"/>
      <c r="B5" s="56"/>
      <c r="C5" s="57"/>
      <c r="D5" s="58"/>
      <c r="E5" s="60"/>
      <c r="F5" s="58"/>
      <c r="G5" s="48"/>
      <c r="H5" s="63" t="str">
        <f t="shared" si="1"/>
        <v/>
      </c>
      <c r="I5" s="55"/>
    </row>
    <row r="6">
      <c r="A6" s="36"/>
      <c r="B6" s="56"/>
      <c r="C6" s="57"/>
      <c r="D6" s="58"/>
      <c r="E6" s="60"/>
      <c r="F6" s="58"/>
      <c r="G6" s="48"/>
      <c r="H6" s="63" t="str">
        <f t="shared" si="1"/>
        <v/>
      </c>
      <c r="I6" s="55"/>
    </row>
    <row r="7">
      <c r="A7" s="36"/>
      <c r="B7" s="56"/>
      <c r="C7" s="57"/>
      <c r="D7" s="58"/>
      <c r="E7" s="60"/>
      <c r="F7" s="58"/>
      <c r="G7" s="48"/>
      <c r="H7" s="63" t="str">
        <f t="shared" si="1"/>
        <v/>
      </c>
      <c r="I7" s="55"/>
    </row>
    <row r="8">
      <c r="A8" s="36"/>
      <c r="B8" s="56"/>
      <c r="C8" s="57"/>
      <c r="D8" s="58"/>
      <c r="E8" s="60"/>
      <c r="F8" s="58"/>
      <c r="G8" s="48"/>
      <c r="H8" s="63" t="str">
        <f t="shared" si="1"/>
        <v/>
      </c>
      <c r="I8" s="55"/>
    </row>
    <row r="9">
      <c r="A9" s="36"/>
      <c r="B9" s="56"/>
      <c r="C9" s="57"/>
      <c r="D9" s="58"/>
      <c r="E9" s="60"/>
      <c r="F9" s="58"/>
      <c r="G9" s="48"/>
      <c r="H9" s="63" t="str">
        <f t="shared" si="1"/>
        <v/>
      </c>
      <c r="I9" s="55"/>
    </row>
    <row r="10">
      <c r="A10" s="36"/>
      <c r="B10" s="56"/>
      <c r="C10" s="57"/>
      <c r="D10" s="58"/>
      <c r="E10" s="60"/>
      <c r="F10" s="58"/>
      <c r="G10" s="48"/>
      <c r="H10" s="63" t="str">
        <f t="shared" si="1"/>
        <v/>
      </c>
      <c r="I10" s="55"/>
    </row>
    <row r="11">
      <c r="A11" s="36"/>
      <c r="B11" s="56"/>
      <c r="C11" s="57"/>
      <c r="D11" s="58"/>
      <c r="E11" s="60"/>
      <c r="F11" s="58"/>
      <c r="G11" s="48"/>
      <c r="H11" s="63" t="str">
        <f t="shared" si="1"/>
        <v/>
      </c>
      <c r="I11" s="55"/>
    </row>
    <row r="12">
      <c r="A12" s="36"/>
      <c r="B12" s="56"/>
      <c r="C12" s="57"/>
      <c r="D12" s="58"/>
      <c r="E12" s="60"/>
      <c r="F12" s="58"/>
      <c r="G12" s="62"/>
      <c r="H12" s="63" t="str">
        <f t="shared" si="1"/>
        <v/>
      </c>
      <c r="I12" s="55"/>
    </row>
    <row r="13">
      <c r="A13" s="67"/>
      <c r="B13" s="69"/>
      <c r="C13" s="71"/>
      <c r="D13" s="58"/>
      <c r="E13" s="60"/>
      <c r="F13" s="58"/>
      <c r="G13" s="62"/>
      <c r="H13" s="63" t="str">
        <f t="shared" si="1"/>
        <v/>
      </c>
      <c r="I13" s="55"/>
    </row>
    <row r="14">
      <c r="A14" s="67"/>
      <c r="B14" s="73"/>
      <c r="C14" s="74"/>
      <c r="D14" s="75"/>
      <c r="E14" s="76"/>
      <c r="F14" s="75"/>
      <c r="G14" s="62"/>
      <c r="H14" s="63" t="str">
        <f t="shared" si="1"/>
        <v/>
      </c>
      <c r="I14" s="55"/>
    </row>
    <row r="15">
      <c r="A15" s="67"/>
      <c r="B15" s="73"/>
      <c r="C15" s="74"/>
      <c r="D15" s="75"/>
      <c r="E15" s="60"/>
      <c r="F15" s="58"/>
      <c r="G15" s="62"/>
      <c r="H15" s="63" t="str">
        <f t="shared" si="1"/>
        <v/>
      </c>
      <c r="I15" s="55"/>
    </row>
    <row r="16">
      <c r="A16" s="77"/>
      <c r="B16" s="69"/>
      <c r="C16" s="71"/>
      <c r="D16" s="58"/>
      <c r="E16" s="76"/>
      <c r="F16" s="75"/>
      <c r="G16" s="62"/>
      <c r="H16" s="63" t="str">
        <f t="shared" si="1"/>
        <v/>
      </c>
      <c r="I16" s="55"/>
    </row>
    <row r="17">
      <c r="A17" s="67"/>
      <c r="B17" s="69"/>
      <c r="C17" s="74"/>
      <c r="D17" s="75"/>
      <c r="E17" s="76"/>
      <c r="F17" s="75"/>
      <c r="G17" s="62"/>
      <c r="H17" s="63" t="str">
        <f t="shared" si="1"/>
        <v/>
      </c>
      <c r="I17" s="55"/>
    </row>
    <row r="18">
      <c r="A18" s="67"/>
      <c r="B18" s="69"/>
      <c r="C18" s="74"/>
      <c r="D18" s="75"/>
      <c r="E18" s="76"/>
      <c r="F18" s="75"/>
      <c r="G18" s="62"/>
      <c r="H18" s="63" t="str">
        <f t="shared" si="1"/>
        <v/>
      </c>
      <c r="I18" s="55"/>
    </row>
    <row r="19">
      <c r="A19" s="67"/>
      <c r="B19" s="69"/>
      <c r="C19" s="74"/>
      <c r="D19" s="75"/>
      <c r="E19" s="76"/>
      <c r="F19" s="75"/>
      <c r="G19" s="62"/>
      <c r="H19" s="63" t="str">
        <f t="shared" si="1"/>
        <v/>
      </c>
      <c r="I19" s="55"/>
    </row>
    <row r="20">
      <c r="A20" s="67"/>
      <c r="B20" s="69"/>
      <c r="C20" s="74"/>
      <c r="D20" s="75"/>
      <c r="E20" s="76"/>
      <c r="F20" s="75"/>
      <c r="G20" s="62"/>
      <c r="H20" s="63" t="str">
        <f t="shared" si="1"/>
        <v/>
      </c>
      <c r="I20" s="55"/>
    </row>
    <row r="21">
      <c r="A21" s="67"/>
      <c r="B21" s="73"/>
      <c r="C21" s="74"/>
      <c r="D21" s="75"/>
      <c r="E21" s="76"/>
      <c r="F21" s="75"/>
      <c r="G21" s="62"/>
      <c r="H21" s="63" t="str">
        <f t="shared" si="1"/>
        <v/>
      </c>
      <c r="I21" s="55"/>
    </row>
    <row r="22">
      <c r="A22" s="67"/>
      <c r="B22" s="73"/>
      <c r="C22" s="74"/>
      <c r="D22" s="75"/>
      <c r="E22" s="76"/>
      <c r="F22" s="75"/>
      <c r="G22" s="62"/>
      <c r="H22" s="63" t="str">
        <f t="shared" si="1"/>
        <v/>
      </c>
      <c r="I22" s="55"/>
    </row>
    <row r="23">
      <c r="A23" s="67"/>
      <c r="B23" s="73"/>
      <c r="C23" s="74"/>
      <c r="D23" s="75"/>
      <c r="E23" s="76"/>
      <c r="F23" s="75"/>
      <c r="G23" s="62"/>
      <c r="H23" s="63" t="str">
        <f t="shared" si="1"/>
        <v/>
      </c>
      <c r="I23" s="55"/>
    </row>
    <row r="24">
      <c r="A24" s="67"/>
      <c r="B24" s="73"/>
      <c r="C24" s="74"/>
      <c r="D24" s="75"/>
      <c r="E24" s="76"/>
      <c r="F24" s="75"/>
      <c r="G24" s="62"/>
      <c r="H24" s="63" t="str">
        <f t="shared" si="1"/>
        <v/>
      </c>
      <c r="I24" s="55"/>
    </row>
    <row r="25">
      <c r="A25" s="67"/>
      <c r="B25" s="73"/>
      <c r="C25" s="74"/>
      <c r="D25" s="75"/>
      <c r="E25" s="76"/>
      <c r="F25" s="75"/>
      <c r="G25" s="62"/>
      <c r="H25" s="63" t="str">
        <f t="shared" si="1"/>
        <v/>
      </c>
      <c r="I25" s="55"/>
    </row>
    <row r="26">
      <c r="A26" s="67"/>
      <c r="B26" s="73"/>
      <c r="C26" s="74"/>
      <c r="D26" s="75"/>
      <c r="E26" s="76"/>
      <c r="F26" s="75"/>
      <c r="G26" s="62"/>
      <c r="H26" s="63" t="str">
        <f t="shared" si="1"/>
        <v/>
      </c>
      <c r="I26" s="55"/>
    </row>
    <row r="27">
      <c r="A27" s="67"/>
      <c r="B27" s="73"/>
      <c r="C27" s="74"/>
      <c r="D27" s="75"/>
      <c r="E27" s="76"/>
      <c r="F27" s="75"/>
      <c r="G27" s="62"/>
      <c r="H27" s="63" t="str">
        <f t="shared" si="1"/>
        <v/>
      </c>
      <c r="I27" s="55"/>
    </row>
    <row r="28">
      <c r="A28" s="67"/>
      <c r="B28" s="73"/>
      <c r="C28" s="74"/>
      <c r="D28" s="75"/>
      <c r="E28" s="76"/>
      <c r="F28" s="75"/>
      <c r="G28" s="62"/>
      <c r="H28" s="63" t="str">
        <f t="shared" si="1"/>
        <v/>
      </c>
      <c r="I28" s="55"/>
    </row>
    <row r="29">
      <c r="A29" s="67"/>
      <c r="B29" s="73"/>
      <c r="C29" s="74"/>
      <c r="D29" s="75"/>
      <c r="E29" s="76"/>
      <c r="F29" s="75"/>
      <c r="G29" s="62"/>
      <c r="H29" s="63" t="str">
        <f t="shared" si="1"/>
        <v/>
      </c>
      <c r="I29" s="55"/>
    </row>
    <row r="30">
      <c r="A30" s="67"/>
      <c r="B30" s="73"/>
      <c r="C30" s="74"/>
      <c r="D30" s="75"/>
      <c r="E30" s="76"/>
      <c r="F30" s="75"/>
      <c r="G30" s="62"/>
      <c r="H30" s="63" t="str">
        <f t="shared" si="1"/>
        <v/>
      </c>
      <c r="I30" s="55"/>
    </row>
    <row r="31">
      <c r="A31" s="67"/>
      <c r="B31" s="73"/>
      <c r="C31" s="74"/>
      <c r="D31" s="75"/>
      <c r="E31" s="76"/>
      <c r="F31" s="75"/>
      <c r="G31" s="62"/>
      <c r="H31" s="63" t="str">
        <f t="shared" si="1"/>
        <v/>
      </c>
      <c r="I31" s="55"/>
    </row>
    <row r="32">
      <c r="A32" s="67"/>
      <c r="B32" s="73"/>
      <c r="C32" s="74"/>
      <c r="D32" s="75"/>
      <c r="E32" s="76"/>
      <c r="F32" s="75"/>
      <c r="G32" s="62"/>
      <c r="H32" s="63" t="str">
        <f t="shared" si="1"/>
        <v/>
      </c>
      <c r="I32" s="55"/>
    </row>
    <row r="33">
      <c r="A33" s="67"/>
      <c r="B33" s="73"/>
      <c r="C33" s="74"/>
      <c r="D33" s="75"/>
      <c r="E33" s="76"/>
      <c r="F33" s="75"/>
      <c r="G33" s="62"/>
      <c r="H33" s="63" t="str">
        <f t="shared" si="1"/>
        <v/>
      </c>
      <c r="I33" s="55"/>
    </row>
    <row r="34">
      <c r="A34" s="67"/>
      <c r="B34" s="73"/>
      <c r="C34" s="74"/>
      <c r="D34" s="75"/>
      <c r="E34" s="76"/>
      <c r="F34" s="75"/>
      <c r="G34" s="62"/>
      <c r="H34" s="63" t="str">
        <f t="shared" si="1"/>
        <v/>
      </c>
      <c r="I34" s="55"/>
    </row>
    <row r="35">
      <c r="A35" s="67"/>
      <c r="B35" s="73"/>
      <c r="C35" s="74"/>
      <c r="D35" s="75"/>
      <c r="E35" s="76"/>
      <c r="F35" s="75"/>
      <c r="G35" s="62"/>
      <c r="H35" s="63" t="str">
        <f t="shared" si="1"/>
        <v/>
      </c>
      <c r="I35" s="55"/>
    </row>
    <row r="36">
      <c r="A36" s="67"/>
      <c r="B36" s="73"/>
      <c r="C36" s="74"/>
      <c r="D36" s="75"/>
      <c r="E36" s="76"/>
      <c r="F36" s="75"/>
      <c r="G36" s="62"/>
      <c r="H36" s="63" t="str">
        <f t="shared" si="1"/>
        <v/>
      </c>
      <c r="I36" s="55"/>
    </row>
    <row r="37">
      <c r="A37" s="67"/>
      <c r="B37" s="73"/>
      <c r="C37" s="74"/>
      <c r="D37" s="75"/>
      <c r="E37" s="76"/>
      <c r="F37" s="75"/>
      <c r="G37" s="62"/>
      <c r="H37" s="63" t="str">
        <f t="shared" si="1"/>
        <v/>
      </c>
      <c r="I37" s="55"/>
    </row>
    <row r="38">
      <c r="A38" s="67"/>
      <c r="B38" s="73"/>
      <c r="C38" s="74"/>
      <c r="D38" s="75"/>
      <c r="E38" s="76"/>
      <c r="F38" s="75"/>
      <c r="G38" s="62"/>
      <c r="H38" s="63" t="str">
        <f t="shared" si="1"/>
        <v/>
      </c>
      <c r="I38" s="55"/>
    </row>
    <row r="39">
      <c r="A39" s="67"/>
      <c r="B39" s="73"/>
      <c r="C39" s="74"/>
      <c r="D39" s="75"/>
      <c r="E39" s="76"/>
      <c r="F39" s="75"/>
      <c r="G39" s="62"/>
      <c r="H39" s="63" t="str">
        <f t="shared" si="1"/>
        <v/>
      </c>
      <c r="I39" s="55"/>
    </row>
    <row r="40">
      <c r="A40" s="67"/>
      <c r="B40" s="73"/>
      <c r="C40" s="74"/>
      <c r="D40" s="75"/>
      <c r="E40" s="76"/>
      <c r="F40" s="75"/>
      <c r="G40" s="62"/>
      <c r="H40" s="63" t="str">
        <f t="shared" si="1"/>
        <v/>
      </c>
      <c r="I40" s="55"/>
    </row>
    <row r="41">
      <c r="A41" s="67"/>
      <c r="B41" s="73"/>
      <c r="C41" s="74"/>
      <c r="D41" s="75"/>
      <c r="E41" s="76"/>
      <c r="F41" s="75"/>
      <c r="G41" s="62"/>
      <c r="H41" s="63" t="str">
        <f t="shared" si="1"/>
        <v/>
      </c>
      <c r="I41" s="55"/>
    </row>
    <row r="42">
      <c r="A42" s="67"/>
      <c r="B42" s="73"/>
      <c r="C42" s="74"/>
      <c r="D42" s="75"/>
      <c r="E42" s="76"/>
      <c r="F42" s="75"/>
      <c r="G42" s="62"/>
      <c r="H42" s="63" t="str">
        <f t="shared" si="1"/>
        <v/>
      </c>
      <c r="I42" s="55"/>
    </row>
    <row r="43">
      <c r="A43" s="67"/>
      <c r="B43" s="73"/>
      <c r="C43" s="74"/>
      <c r="D43" s="75"/>
      <c r="E43" s="76"/>
      <c r="F43" s="75"/>
      <c r="G43" s="62"/>
      <c r="H43" s="63" t="str">
        <f t="shared" si="1"/>
        <v/>
      </c>
      <c r="I43" s="55"/>
    </row>
    <row r="44">
      <c r="A44" s="67"/>
      <c r="B44" s="73"/>
      <c r="C44" s="74"/>
      <c r="D44" s="75"/>
      <c r="E44" s="76"/>
      <c r="F44" s="75"/>
      <c r="G44" s="62"/>
      <c r="H44" s="63" t="str">
        <f t="shared" si="1"/>
        <v/>
      </c>
      <c r="I44" s="55"/>
    </row>
    <row r="45">
      <c r="A45" s="67"/>
      <c r="B45" s="73"/>
      <c r="C45" s="74"/>
      <c r="D45" s="75"/>
      <c r="E45" s="76"/>
      <c r="F45" s="75"/>
      <c r="G45" s="62"/>
      <c r="H45" s="63" t="str">
        <f t="shared" si="1"/>
        <v/>
      </c>
      <c r="I45" s="55"/>
    </row>
    <row r="46">
      <c r="A46" s="67"/>
      <c r="B46" s="73"/>
      <c r="C46" s="74"/>
      <c r="D46" s="75"/>
      <c r="E46" s="76"/>
      <c r="F46" s="75"/>
      <c r="G46" s="62"/>
      <c r="H46" s="63" t="str">
        <f t="shared" si="1"/>
        <v/>
      </c>
      <c r="I46" s="55"/>
    </row>
    <row r="47">
      <c r="A47" s="67"/>
      <c r="B47" s="73"/>
      <c r="C47" s="74"/>
      <c r="D47" s="75"/>
      <c r="E47" s="76"/>
      <c r="F47" s="75"/>
      <c r="G47" s="62"/>
      <c r="H47" s="63" t="str">
        <f t="shared" si="1"/>
        <v/>
      </c>
      <c r="I47" s="55"/>
    </row>
    <row r="48">
      <c r="A48" s="67"/>
      <c r="B48" s="73"/>
      <c r="C48" s="74"/>
      <c r="D48" s="75"/>
      <c r="E48" s="76"/>
      <c r="F48" s="75"/>
      <c r="G48" s="62"/>
      <c r="H48" s="63" t="str">
        <f t="shared" si="1"/>
        <v/>
      </c>
      <c r="I48" s="55"/>
    </row>
    <row r="49">
      <c r="A49" s="67"/>
      <c r="B49" s="73"/>
      <c r="C49" s="74"/>
      <c r="D49" s="75"/>
      <c r="E49" s="76"/>
      <c r="F49" s="75"/>
      <c r="G49" s="62"/>
      <c r="H49" s="63" t="str">
        <f t="shared" si="1"/>
        <v/>
      </c>
      <c r="I49" s="55"/>
    </row>
    <row r="50">
      <c r="A50" s="67"/>
      <c r="B50" s="73"/>
      <c r="C50" s="74"/>
      <c r="D50" s="75"/>
      <c r="E50" s="76"/>
      <c r="F50" s="75"/>
      <c r="G50" s="62"/>
      <c r="H50" s="63" t="str">
        <f t="shared" si="1"/>
        <v/>
      </c>
      <c r="I50" s="55"/>
    </row>
    <row r="51">
      <c r="A51" s="67"/>
      <c r="B51" s="73"/>
      <c r="C51" s="74"/>
      <c r="D51" s="75"/>
      <c r="E51" s="76"/>
      <c r="F51" s="75"/>
      <c r="G51" s="62"/>
      <c r="H51" s="63" t="str">
        <f t="shared" si="1"/>
        <v/>
      </c>
      <c r="I51" s="55"/>
    </row>
    <row r="52">
      <c r="A52" s="67"/>
      <c r="B52" s="73"/>
      <c r="C52" s="74"/>
      <c r="D52" s="75"/>
      <c r="E52" s="76"/>
      <c r="F52" s="75"/>
      <c r="G52" s="62"/>
      <c r="H52" s="63" t="str">
        <f t="shared" si="1"/>
        <v/>
      </c>
      <c r="I52" s="55"/>
    </row>
    <row r="53">
      <c r="A53" s="67"/>
      <c r="B53" s="73"/>
      <c r="C53" s="74"/>
      <c r="D53" s="75"/>
      <c r="E53" s="76"/>
      <c r="F53" s="75"/>
      <c r="G53" s="62"/>
      <c r="H53" s="63" t="str">
        <f t="shared" si="1"/>
        <v/>
      </c>
      <c r="I53" s="55"/>
    </row>
    <row r="54">
      <c r="A54" s="67"/>
      <c r="B54" s="73"/>
      <c r="C54" s="74"/>
      <c r="D54" s="75"/>
      <c r="E54" s="76"/>
      <c r="F54" s="75"/>
      <c r="G54" s="62"/>
      <c r="H54" s="63" t="str">
        <f t="shared" si="1"/>
        <v/>
      </c>
      <c r="I54" s="55"/>
    </row>
    <row r="55">
      <c r="A55" s="67"/>
      <c r="B55" s="73"/>
      <c r="C55" s="74"/>
      <c r="D55" s="75"/>
      <c r="E55" s="76"/>
      <c r="F55" s="75"/>
      <c r="G55" s="62"/>
      <c r="H55" s="63" t="str">
        <f t="shared" si="1"/>
        <v/>
      </c>
      <c r="I55" s="55"/>
    </row>
    <row r="56">
      <c r="A56" s="67"/>
      <c r="B56" s="73"/>
      <c r="C56" s="74"/>
      <c r="D56" s="75"/>
      <c r="E56" s="76"/>
      <c r="F56" s="75"/>
      <c r="G56" s="62"/>
      <c r="H56" s="63" t="str">
        <f t="shared" si="1"/>
        <v/>
      </c>
      <c r="I56" s="55"/>
    </row>
    <row r="57">
      <c r="A57" s="67"/>
      <c r="B57" s="73"/>
      <c r="C57" s="74"/>
      <c r="D57" s="75"/>
      <c r="E57" s="76"/>
      <c r="F57" s="75"/>
      <c r="G57" s="62"/>
      <c r="H57" s="63" t="str">
        <f t="shared" si="1"/>
        <v/>
      </c>
      <c r="I57" s="55"/>
    </row>
    <row r="58">
      <c r="A58" s="67"/>
      <c r="B58" s="73"/>
      <c r="C58" s="74"/>
      <c r="D58" s="75"/>
      <c r="E58" s="76"/>
      <c r="F58" s="75"/>
      <c r="G58" s="62"/>
      <c r="H58" s="63" t="str">
        <f t="shared" si="1"/>
        <v/>
      </c>
      <c r="I58" s="55"/>
    </row>
    <row r="59">
      <c r="A59" s="67"/>
      <c r="B59" s="73"/>
      <c r="C59" s="74"/>
      <c r="D59" s="75"/>
      <c r="E59" s="76"/>
      <c r="F59" s="75"/>
      <c r="G59" s="62"/>
      <c r="H59" s="63" t="str">
        <f t="shared" si="1"/>
        <v/>
      </c>
      <c r="I59" s="55"/>
    </row>
    <row r="60">
      <c r="A60" s="67"/>
      <c r="B60" s="73"/>
      <c r="C60" s="74"/>
      <c r="D60" s="75"/>
      <c r="E60" s="76"/>
      <c r="F60" s="75"/>
      <c r="G60" s="62"/>
      <c r="H60" s="63" t="str">
        <f t="shared" si="1"/>
        <v/>
      </c>
      <c r="I60" s="55"/>
    </row>
    <row r="61">
      <c r="A61" s="67"/>
      <c r="B61" s="73"/>
      <c r="C61" s="74"/>
      <c r="D61" s="75"/>
      <c r="E61" s="76"/>
      <c r="F61" s="75"/>
      <c r="G61" s="62"/>
      <c r="H61" s="63" t="str">
        <f t="shared" si="1"/>
        <v/>
      </c>
      <c r="I61" s="55"/>
    </row>
    <row r="62">
      <c r="A62" s="67"/>
      <c r="B62" s="73"/>
      <c r="C62" s="74"/>
      <c r="D62" s="75"/>
      <c r="E62" s="76"/>
      <c r="F62" s="75"/>
      <c r="G62" s="62"/>
      <c r="H62" s="63" t="str">
        <f t="shared" si="1"/>
        <v/>
      </c>
      <c r="I62" s="55"/>
    </row>
    <row r="63">
      <c r="A63" s="67"/>
      <c r="B63" s="73"/>
      <c r="C63" s="74"/>
      <c r="D63" s="75"/>
      <c r="E63" s="76"/>
      <c r="F63" s="75"/>
      <c r="G63" s="62"/>
      <c r="H63" s="63" t="str">
        <f t="shared" si="1"/>
        <v/>
      </c>
      <c r="I63" s="55"/>
    </row>
    <row r="64">
      <c r="A64" s="67"/>
      <c r="B64" s="73"/>
      <c r="C64" s="74"/>
      <c r="D64" s="75"/>
      <c r="E64" s="76"/>
      <c r="F64" s="75"/>
      <c r="G64" s="62"/>
      <c r="H64" s="63" t="str">
        <f t="shared" si="1"/>
        <v/>
      </c>
      <c r="I64" s="55"/>
    </row>
    <row r="65">
      <c r="A65" s="67"/>
      <c r="B65" s="73"/>
      <c r="C65" s="74"/>
      <c r="D65" s="75"/>
      <c r="E65" s="76"/>
      <c r="F65" s="75"/>
      <c r="G65" s="62"/>
      <c r="H65" s="63" t="str">
        <f t="shared" si="1"/>
        <v/>
      </c>
      <c r="I65" s="55"/>
    </row>
    <row r="66">
      <c r="A66" s="67"/>
      <c r="B66" s="73"/>
      <c r="C66" s="74"/>
      <c r="D66" s="75"/>
      <c r="E66" s="76"/>
      <c r="F66" s="75"/>
      <c r="G66" s="62"/>
      <c r="H66" s="63" t="str">
        <f t="shared" si="1"/>
        <v/>
      </c>
      <c r="I66" s="55"/>
    </row>
    <row r="67">
      <c r="A67" s="67"/>
      <c r="B67" s="73"/>
      <c r="C67" s="74"/>
      <c r="D67" s="75"/>
      <c r="E67" s="76"/>
      <c r="F67" s="75"/>
      <c r="G67" s="62"/>
      <c r="H67" s="63" t="str">
        <f t="shared" si="1"/>
        <v/>
      </c>
      <c r="I67" s="55"/>
    </row>
    <row r="68">
      <c r="A68" s="67"/>
      <c r="B68" s="73"/>
      <c r="C68" s="74"/>
      <c r="D68" s="75"/>
      <c r="E68" s="76"/>
      <c r="F68" s="75"/>
      <c r="G68" s="62"/>
      <c r="H68" s="63" t="str">
        <f t="shared" si="1"/>
        <v/>
      </c>
      <c r="I68" s="55"/>
    </row>
    <row r="69">
      <c r="A69" s="67"/>
      <c r="B69" s="73"/>
      <c r="C69" s="74"/>
      <c r="D69" s="75"/>
      <c r="E69" s="76"/>
      <c r="F69" s="75"/>
      <c r="G69" s="62"/>
      <c r="H69" s="63" t="str">
        <f t="shared" si="1"/>
        <v/>
      </c>
      <c r="I69" s="55"/>
    </row>
    <row r="70">
      <c r="A70" s="67"/>
      <c r="B70" s="73"/>
      <c r="C70" s="74"/>
      <c r="D70" s="75"/>
      <c r="E70" s="76"/>
      <c r="F70" s="75"/>
      <c r="G70" s="62"/>
      <c r="H70" s="63" t="str">
        <f t="shared" si="1"/>
        <v/>
      </c>
      <c r="I70" s="55"/>
    </row>
    <row r="71">
      <c r="A71" s="67"/>
      <c r="B71" s="73"/>
      <c r="C71" s="74"/>
      <c r="D71" s="75"/>
      <c r="E71" s="76"/>
      <c r="F71" s="75"/>
      <c r="G71" s="62"/>
      <c r="H71" s="63" t="str">
        <f t="shared" si="1"/>
        <v/>
      </c>
      <c r="I71" s="55"/>
    </row>
    <row r="72">
      <c r="A72" s="67"/>
      <c r="B72" s="73"/>
      <c r="C72" s="74"/>
      <c r="D72" s="75"/>
      <c r="E72" s="76"/>
      <c r="F72" s="75"/>
      <c r="G72" s="62"/>
      <c r="H72" s="63" t="str">
        <f t="shared" si="1"/>
        <v/>
      </c>
      <c r="I72" s="55"/>
    </row>
    <row r="73">
      <c r="A73" s="67"/>
      <c r="B73" s="73"/>
      <c r="C73" s="74"/>
      <c r="D73" s="75"/>
      <c r="E73" s="76"/>
      <c r="F73" s="75"/>
      <c r="G73" s="62"/>
      <c r="H73" s="63" t="str">
        <f t="shared" si="1"/>
        <v/>
      </c>
      <c r="I73" s="55"/>
    </row>
    <row r="74">
      <c r="A74" s="67"/>
      <c r="B74" s="73"/>
      <c r="C74" s="74"/>
      <c r="D74" s="75"/>
      <c r="E74" s="76"/>
      <c r="F74" s="75"/>
      <c r="G74" s="62"/>
      <c r="H74" s="63" t="str">
        <f t="shared" si="1"/>
        <v/>
      </c>
      <c r="I74" s="55"/>
    </row>
    <row r="75">
      <c r="A75" s="67"/>
      <c r="B75" s="73"/>
      <c r="C75" s="74"/>
      <c r="D75" s="75"/>
      <c r="E75" s="76"/>
      <c r="F75" s="75"/>
      <c r="G75" s="62"/>
      <c r="H75" s="63" t="str">
        <f t="shared" si="1"/>
        <v/>
      </c>
      <c r="I75" s="55"/>
    </row>
    <row r="76">
      <c r="A76" s="67"/>
      <c r="B76" s="73"/>
      <c r="C76" s="74"/>
      <c r="D76" s="75"/>
      <c r="E76" s="76"/>
      <c r="F76" s="75"/>
      <c r="G76" s="62"/>
      <c r="H76" s="63" t="str">
        <f t="shared" si="1"/>
        <v/>
      </c>
      <c r="I76" s="55"/>
    </row>
    <row r="77">
      <c r="A77" s="67"/>
      <c r="B77" s="73"/>
      <c r="C77" s="74"/>
      <c r="D77" s="75"/>
      <c r="E77" s="76"/>
      <c r="F77" s="75"/>
      <c r="G77" s="62"/>
      <c r="H77" s="63" t="str">
        <f t="shared" si="1"/>
        <v/>
      </c>
      <c r="I77" s="55"/>
    </row>
    <row r="78">
      <c r="A78" s="67"/>
      <c r="B78" s="73"/>
      <c r="C78" s="74"/>
      <c r="D78" s="75"/>
      <c r="E78" s="76"/>
      <c r="F78" s="75"/>
      <c r="G78" s="62"/>
      <c r="H78" s="63" t="str">
        <f t="shared" si="1"/>
        <v/>
      </c>
      <c r="I78" s="55"/>
    </row>
    <row r="79">
      <c r="A79" s="67"/>
      <c r="B79" s="73"/>
      <c r="C79" s="74"/>
      <c r="D79" s="75"/>
      <c r="E79" s="76"/>
      <c r="F79" s="75"/>
      <c r="G79" s="62"/>
      <c r="H79" s="63" t="str">
        <f t="shared" si="1"/>
        <v/>
      </c>
      <c r="I79" s="55"/>
    </row>
    <row r="80">
      <c r="A80" s="67"/>
      <c r="B80" s="73"/>
      <c r="C80" s="74"/>
      <c r="D80" s="75"/>
      <c r="E80" s="76"/>
      <c r="F80" s="75"/>
      <c r="G80" s="62"/>
      <c r="H80" s="63" t="str">
        <f t="shared" si="1"/>
        <v/>
      </c>
      <c r="I80" s="55"/>
    </row>
    <row r="81">
      <c r="A81" s="67"/>
      <c r="B81" s="73"/>
      <c r="C81" s="74"/>
      <c r="D81" s="75"/>
      <c r="E81" s="76"/>
      <c r="F81" s="75"/>
      <c r="G81" s="62"/>
      <c r="H81" s="63" t="str">
        <f t="shared" si="1"/>
        <v/>
      </c>
      <c r="I81" s="55"/>
    </row>
    <row r="82">
      <c r="A82" s="67"/>
      <c r="B82" s="73"/>
      <c r="C82" s="74"/>
      <c r="D82" s="75"/>
      <c r="E82" s="76"/>
      <c r="F82" s="75"/>
      <c r="G82" s="62"/>
      <c r="H82" s="63" t="str">
        <f t="shared" si="1"/>
        <v/>
      </c>
      <c r="I82" s="55"/>
    </row>
    <row r="83">
      <c r="A83" s="67"/>
      <c r="B83" s="73"/>
      <c r="C83" s="74"/>
      <c r="D83" s="75"/>
      <c r="E83" s="76"/>
      <c r="F83" s="75"/>
      <c r="G83" s="62"/>
      <c r="H83" s="63" t="str">
        <f t="shared" si="1"/>
        <v/>
      </c>
      <c r="I83" s="55"/>
    </row>
    <row r="84">
      <c r="A84" s="67"/>
      <c r="B84" s="73"/>
      <c r="C84" s="74"/>
      <c r="D84" s="75"/>
      <c r="E84" s="76"/>
      <c r="F84" s="75"/>
      <c r="G84" s="62"/>
      <c r="H84" s="63" t="str">
        <f t="shared" si="1"/>
        <v/>
      </c>
      <c r="I84" s="55"/>
    </row>
    <row r="85">
      <c r="A85" s="67"/>
      <c r="B85" s="73"/>
      <c r="C85" s="74"/>
      <c r="D85" s="75"/>
      <c r="E85" s="76"/>
      <c r="F85" s="75"/>
      <c r="G85" s="62"/>
      <c r="H85" s="63" t="str">
        <f t="shared" si="1"/>
        <v/>
      </c>
      <c r="I85" s="55"/>
    </row>
    <row r="86">
      <c r="A86" s="67"/>
      <c r="B86" s="73"/>
      <c r="C86" s="74"/>
      <c r="D86" s="75"/>
      <c r="E86" s="76"/>
      <c r="F86" s="75"/>
      <c r="G86" s="62"/>
      <c r="H86" s="63" t="str">
        <f t="shared" si="1"/>
        <v/>
      </c>
      <c r="I86" s="55"/>
    </row>
    <row r="87">
      <c r="A87" s="67"/>
      <c r="B87" s="73"/>
      <c r="C87" s="74"/>
      <c r="D87" s="75"/>
      <c r="E87" s="76"/>
      <c r="F87" s="75"/>
      <c r="G87" s="62"/>
      <c r="H87" s="63" t="str">
        <f t="shared" si="1"/>
        <v/>
      </c>
      <c r="I87" s="55"/>
    </row>
    <row r="88">
      <c r="A88" s="67"/>
      <c r="B88" s="73"/>
      <c r="C88" s="74"/>
      <c r="D88" s="75"/>
      <c r="E88" s="76"/>
      <c r="F88" s="75"/>
      <c r="G88" s="62"/>
      <c r="H88" s="63" t="str">
        <f t="shared" si="1"/>
        <v/>
      </c>
      <c r="I88" s="55"/>
    </row>
    <row r="89">
      <c r="A89" s="67"/>
      <c r="B89" s="73"/>
      <c r="C89" s="74"/>
      <c r="D89" s="75"/>
      <c r="E89" s="76"/>
      <c r="F89" s="75"/>
      <c r="G89" s="62"/>
      <c r="H89" s="63" t="str">
        <f t="shared" si="1"/>
        <v/>
      </c>
      <c r="I89" s="55"/>
    </row>
    <row r="90">
      <c r="A90" s="67"/>
      <c r="B90" s="73"/>
      <c r="C90" s="74"/>
      <c r="D90" s="75"/>
      <c r="E90" s="76"/>
      <c r="F90" s="75"/>
      <c r="G90" s="62"/>
      <c r="H90" s="63" t="str">
        <f t="shared" si="1"/>
        <v/>
      </c>
      <c r="I90" s="55"/>
    </row>
    <row r="91">
      <c r="A91" s="67"/>
      <c r="B91" s="73"/>
      <c r="C91" s="74"/>
      <c r="D91" s="75"/>
      <c r="E91" s="76"/>
      <c r="F91" s="75"/>
      <c r="G91" s="62"/>
      <c r="H91" s="63" t="str">
        <f t="shared" si="1"/>
        <v/>
      </c>
      <c r="I91" s="55"/>
    </row>
    <row r="92">
      <c r="A92" s="67"/>
      <c r="B92" s="73"/>
      <c r="C92" s="74"/>
      <c r="D92" s="75"/>
      <c r="E92" s="76"/>
      <c r="F92" s="75"/>
      <c r="G92" s="62"/>
      <c r="H92" s="63" t="str">
        <f t="shared" si="1"/>
        <v/>
      </c>
      <c r="I92" s="55"/>
    </row>
    <row r="93">
      <c r="A93" s="67"/>
      <c r="B93" s="73"/>
      <c r="C93" s="74"/>
      <c r="D93" s="75"/>
      <c r="E93" s="76"/>
      <c r="F93" s="75"/>
      <c r="G93" s="62"/>
      <c r="H93" s="63" t="str">
        <f t="shared" si="1"/>
        <v/>
      </c>
      <c r="I93" s="55"/>
    </row>
    <row r="94">
      <c r="A94" s="67"/>
      <c r="B94" s="73"/>
      <c r="C94" s="74"/>
      <c r="D94" s="75"/>
      <c r="E94" s="76"/>
      <c r="F94" s="75"/>
      <c r="G94" s="62"/>
      <c r="H94" s="63" t="str">
        <f t="shared" si="1"/>
        <v/>
      </c>
      <c r="I94" s="55"/>
    </row>
    <row r="95">
      <c r="A95" s="67"/>
      <c r="B95" s="73"/>
      <c r="C95" s="74"/>
      <c r="D95" s="75"/>
      <c r="E95" s="76"/>
      <c r="F95" s="75"/>
      <c r="G95" s="62"/>
      <c r="H95" s="63" t="str">
        <f t="shared" si="1"/>
        <v/>
      </c>
      <c r="I95" s="55"/>
    </row>
    <row r="96">
      <c r="A96" s="67"/>
      <c r="B96" s="73"/>
      <c r="C96" s="74"/>
      <c r="D96" s="75"/>
      <c r="E96" s="76"/>
      <c r="F96" s="75"/>
      <c r="G96" s="62"/>
      <c r="H96" s="63" t="str">
        <f t="shared" si="1"/>
        <v/>
      </c>
      <c r="I96" s="55"/>
    </row>
    <row r="97">
      <c r="A97" s="67"/>
      <c r="B97" s="73"/>
      <c r="C97" s="74"/>
      <c r="D97" s="75"/>
      <c r="E97" s="76"/>
      <c r="F97" s="75"/>
      <c r="G97" s="62"/>
      <c r="H97" s="63" t="str">
        <f t="shared" si="1"/>
        <v/>
      </c>
      <c r="I97" s="55"/>
    </row>
    <row r="98">
      <c r="A98" s="67"/>
      <c r="B98" s="73"/>
      <c r="C98" s="74"/>
      <c r="D98" s="75"/>
      <c r="E98" s="76"/>
      <c r="F98" s="75"/>
      <c r="G98" s="62"/>
      <c r="H98" s="63" t="str">
        <f t="shared" si="1"/>
        <v/>
      </c>
      <c r="I98" s="55"/>
    </row>
    <row r="99">
      <c r="A99" s="67"/>
      <c r="B99" s="73"/>
      <c r="C99" s="74"/>
      <c r="D99" s="75"/>
      <c r="E99" s="76"/>
      <c r="F99" s="75"/>
      <c r="G99" s="62"/>
      <c r="H99" s="63" t="str">
        <f t="shared" si="1"/>
        <v/>
      </c>
      <c r="I99" s="55"/>
    </row>
    <row r="100">
      <c r="A100" s="67"/>
      <c r="B100" s="73"/>
      <c r="C100" s="74"/>
      <c r="D100" s="75"/>
      <c r="E100" s="76"/>
      <c r="F100" s="75"/>
      <c r="G100" s="62"/>
      <c r="H100" s="63" t="str">
        <f t="shared" si="1"/>
        <v/>
      </c>
      <c r="I100" s="55"/>
    </row>
    <row r="101">
      <c r="A101" s="67"/>
      <c r="B101" s="73"/>
      <c r="C101" s="74"/>
      <c r="D101" s="75"/>
      <c r="E101" s="76"/>
      <c r="F101" s="75"/>
      <c r="G101" s="62"/>
      <c r="H101" s="63" t="str">
        <f t="shared" si="1"/>
        <v/>
      </c>
      <c r="I101" s="55"/>
    </row>
    <row r="102">
      <c r="A102" s="67"/>
      <c r="B102" s="73"/>
      <c r="C102" s="74"/>
      <c r="D102" s="75"/>
      <c r="E102" s="76"/>
      <c r="F102" s="75"/>
      <c r="G102" s="62"/>
      <c r="H102" s="63" t="str">
        <f t="shared" si="1"/>
        <v/>
      </c>
      <c r="I102" s="55"/>
    </row>
    <row r="103">
      <c r="A103" s="67"/>
      <c r="B103" s="73"/>
      <c r="C103" s="74"/>
      <c r="D103" s="75"/>
      <c r="E103" s="76"/>
      <c r="F103" s="75"/>
      <c r="G103" s="62"/>
      <c r="H103" s="63" t="str">
        <f t="shared" si="1"/>
        <v/>
      </c>
      <c r="I103" s="55"/>
    </row>
    <row r="104">
      <c r="A104" s="67"/>
      <c r="B104" s="73"/>
      <c r="C104" s="74"/>
      <c r="D104" s="75"/>
      <c r="E104" s="76"/>
      <c r="F104" s="75"/>
      <c r="G104" s="62"/>
      <c r="H104" s="63" t="str">
        <f t="shared" si="1"/>
        <v/>
      </c>
      <c r="I104" s="55"/>
    </row>
    <row r="105">
      <c r="A105" s="67"/>
      <c r="B105" s="73"/>
      <c r="C105" s="74"/>
      <c r="D105" s="75"/>
      <c r="E105" s="76"/>
      <c r="F105" s="75"/>
      <c r="G105" s="62"/>
      <c r="H105" s="63" t="str">
        <f t="shared" si="1"/>
        <v/>
      </c>
      <c r="I105" s="55"/>
    </row>
    <row r="106">
      <c r="A106" s="67"/>
      <c r="B106" s="73"/>
      <c r="C106" s="74"/>
      <c r="D106" s="75"/>
      <c r="E106" s="76"/>
      <c r="F106" s="75"/>
      <c r="G106" s="62"/>
      <c r="H106" s="63" t="str">
        <f t="shared" si="1"/>
        <v/>
      </c>
      <c r="I106" s="55"/>
    </row>
    <row r="107">
      <c r="A107" s="67"/>
      <c r="B107" s="73"/>
      <c r="C107" s="74"/>
      <c r="D107" s="75"/>
      <c r="E107" s="76"/>
      <c r="F107" s="75"/>
      <c r="G107" s="62"/>
      <c r="H107" s="63" t="str">
        <f t="shared" si="1"/>
        <v/>
      </c>
      <c r="I107" s="55"/>
    </row>
    <row r="108">
      <c r="A108" s="67"/>
      <c r="B108" s="73"/>
      <c r="C108" s="74"/>
      <c r="D108" s="75"/>
      <c r="E108" s="76"/>
      <c r="F108" s="75"/>
      <c r="G108" s="62"/>
      <c r="H108" s="63" t="str">
        <f t="shared" si="1"/>
        <v/>
      </c>
      <c r="I108" s="55"/>
    </row>
    <row r="109">
      <c r="A109" s="67"/>
      <c r="B109" s="73"/>
      <c r="C109" s="74"/>
      <c r="D109" s="75"/>
      <c r="E109" s="76"/>
      <c r="F109" s="75"/>
      <c r="G109" s="62"/>
      <c r="H109" s="63" t="str">
        <f t="shared" si="1"/>
        <v/>
      </c>
      <c r="I109" s="55"/>
    </row>
    <row r="110">
      <c r="A110" s="67"/>
      <c r="B110" s="73"/>
      <c r="C110" s="74"/>
      <c r="D110" s="75"/>
      <c r="E110" s="76"/>
      <c r="F110" s="75"/>
      <c r="G110" s="62"/>
      <c r="H110" s="63" t="str">
        <f t="shared" si="1"/>
        <v/>
      </c>
      <c r="I110" s="55"/>
    </row>
    <row r="111">
      <c r="A111" s="67"/>
      <c r="B111" s="73"/>
      <c r="C111" s="74"/>
      <c r="D111" s="75"/>
      <c r="E111" s="76"/>
      <c r="F111" s="75"/>
      <c r="G111" s="62"/>
      <c r="H111" s="63" t="str">
        <f t="shared" si="1"/>
        <v/>
      </c>
      <c r="I111" s="55"/>
    </row>
    <row r="112">
      <c r="A112" s="67"/>
      <c r="B112" s="73"/>
      <c r="C112" s="74"/>
      <c r="D112" s="75"/>
      <c r="E112" s="76"/>
      <c r="F112" s="75"/>
      <c r="G112" s="62"/>
      <c r="H112" s="63" t="str">
        <f t="shared" si="1"/>
        <v/>
      </c>
      <c r="I112" s="55"/>
    </row>
    <row r="113">
      <c r="A113" s="67"/>
      <c r="B113" s="73"/>
      <c r="C113" s="74"/>
      <c r="D113" s="75"/>
      <c r="E113" s="76"/>
      <c r="F113" s="75"/>
      <c r="G113" s="62"/>
      <c r="H113" s="63" t="str">
        <f t="shared" si="1"/>
        <v/>
      </c>
      <c r="I113" s="55"/>
    </row>
    <row r="114">
      <c r="A114" s="67"/>
      <c r="B114" s="73"/>
      <c r="C114" s="74"/>
      <c r="D114" s="75"/>
      <c r="E114" s="76"/>
      <c r="F114" s="75"/>
      <c r="G114" s="62"/>
      <c r="H114" s="63" t="str">
        <f t="shared" si="1"/>
        <v/>
      </c>
      <c r="I114" s="55"/>
    </row>
    <row r="115">
      <c r="A115" s="67"/>
      <c r="B115" s="73"/>
      <c r="C115" s="74"/>
      <c r="D115" s="75"/>
      <c r="E115" s="76"/>
      <c r="F115" s="75"/>
      <c r="G115" s="62"/>
      <c r="H115" s="63" t="str">
        <f t="shared" si="1"/>
        <v/>
      </c>
      <c r="I115" s="55"/>
    </row>
    <row r="116">
      <c r="A116" s="67"/>
      <c r="B116" s="73"/>
      <c r="C116" s="74"/>
      <c r="D116" s="75"/>
      <c r="E116" s="76"/>
      <c r="F116" s="75"/>
      <c r="G116" s="62"/>
      <c r="H116" s="63" t="str">
        <f t="shared" si="1"/>
        <v/>
      </c>
      <c r="I116" s="55"/>
    </row>
    <row r="117">
      <c r="A117" s="67"/>
      <c r="B117" s="73"/>
      <c r="C117" s="74"/>
      <c r="D117" s="75"/>
      <c r="E117" s="76"/>
      <c r="F117" s="75"/>
      <c r="G117" s="62"/>
      <c r="H117" s="63" t="str">
        <f t="shared" si="1"/>
        <v/>
      </c>
      <c r="I117" s="55"/>
    </row>
    <row r="118">
      <c r="A118" s="67"/>
      <c r="B118" s="73"/>
      <c r="C118" s="74"/>
      <c r="D118" s="75"/>
      <c r="E118" s="76"/>
      <c r="F118" s="75"/>
      <c r="G118" s="62"/>
      <c r="H118" s="63" t="str">
        <f t="shared" si="1"/>
        <v/>
      </c>
      <c r="I118" s="55"/>
    </row>
    <row r="119">
      <c r="A119" s="67"/>
      <c r="B119" s="73"/>
      <c r="C119" s="74"/>
      <c r="D119" s="75"/>
      <c r="E119" s="76"/>
      <c r="F119" s="75"/>
      <c r="G119" s="62"/>
      <c r="H119" s="63" t="str">
        <f t="shared" si="1"/>
        <v/>
      </c>
      <c r="I119" s="55"/>
    </row>
    <row r="120">
      <c r="A120" s="67"/>
      <c r="B120" s="73"/>
      <c r="C120" s="74"/>
      <c r="D120" s="75"/>
      <c r="E120" s="76"/>
      <c r="F120" s="75"/>
      <c r="G120" s="62"/>
      <c r="H120" s="63" t="str">
        <f t="shared" si="1"/>
        <v/>
      </c>
      <c r="I120" s="55"/>
    </row>
    <row r="121">
      <c r="A121" s="67"/>
      <c r="B121" s="73"/>
      <c r="C121" s="74"/>
      <c r="D121" s="75"/>
      <c r="E121" s="76"/>
      <c r="F121" s="75"/>
      <c r="G121" s="62"/>
      <c r="H121" s="63" t="str">
        <f t="shared" si="1"/>
        <v/>
      </c>
      <c r="I121" s="55"/>
    </row>
    <row r="122">
      <c r="A122" s="67"/>
      <c r="B122" s="73"/>
      <c r="C122" s="74"/>
      <c r="D122" s="75"/>
      <c r="E122" s="76"/>
      <c r="F122" s="75"/>
      <c r="G122" s="62"/>
      <c r="H122" s="63" t="str">
        <f t="shared" si="1"/>
        <v/>
      </c>
      <c r="I122" s="55"/>
    </row>
    <row r="123">
      <c r="A123" s="67"/>
      <c r="B123" s="73"/>
      <c r="C123" s="74"/>
      <c r="D123" s="75"/>
      <c r="E123" s="76"/>
      <c r="F123" s="75"/>
      <c r="G123" s="62"/>
      <c r="H123" s="63" t="str">
        <f t="shared" si="1"/>
        <v/>
      </c>
      <c r="I123" s="55"/>
    </row>
    <row r="124">
      <c r="A124" s="67"/>
      <c r="B124" s="73"/>
      <c r="C124" s="74"/>
      <c r="D124" s="75"/>
      <c r="E124" s="76"/>
      <c r="F124" s="75"/>
      <c r="G124" s="62"/>
      <c r="H124" s="63" t="str">
        <f t="shared" si="1"/>
        <v/>
      </c>
      <c r="I124" s="55"/>
    </row>
    <row r="125">
      <c r="A125" s="67"/>
      <c r="B125" s="73"/>
      <c r="C125" s="74"/>
      <c r="D125" s="75"/>
      <c r="E125" s="76"/>
      <c r="F125" s="75"/>
      <c r="G125" s="62"/>
      <c r="H125" s="63" t="str">
        <f t="shared" si="1"/>
        <v/>
      </c>
      <c r="I125" s="55"/>
    </row>
    <row r="126">
      <c r="A126" s="67"/>
      <c r="B126" s="73"/>
      <c r="C126" s="74"/>
      <c r="D126" s="75"/>
      <c r="E126" s="76"/>
      <c r="F126" s="75"/>
      <c r="G126" s="62"/>
      <c r="H126" s="63" t="str">
        <f t="shared" si="1"/>
        <v/>
      </c>
      <c r="I126" s="55"/>
    </row>
    <row r="127">
      <c r="A127" s="67"/>
      <c r="B127" s="73"/>
      <c r="C127" s="74"/>
      <c r="D127" s="75"/>
      <c r="E127" s="76"/>
      <c r="F127" s="75"/>
      <c r="G127" s="62"/>
      <c r="H127" s="63" t="str">
        <f t="shared" si="1"/>
        <v/>
      </c>
      <c r="I127" s="55"/>
    </row>
    <row r="128">
      <c r="A128" s="67"/>
      <c r="B128" s="73"/>
      <c r="C128" s="74"/>
      <c r="D128" s="75"/>
      <c r="E128" s="76"/>
      <c r="F128" s="75"/>
      <c r="G128" s="62"/>
      <c r="H128" s="63" t="str">
        <f t="shared" si="1"/>
        <v/>
      </c>
      <c r="I128" s="55"/>
    </row>
    <row r="129">
      <c r="A129" s="67"/>
      <c r="B129" s="73"/>
      <c r="C129" s="74"/>
      <c r="D129" s="75"/>
      <c r="E129" s="76"/>
      <c r="F129" s="75"/>
      <c r="G129" s="62"/>
      <c r="H129" s="63" t="str">
        <f t="shared" si="1"/>
        <v/>
      </c>
      <c r="I129" s="55"/>
    </row>
    <row r="130">
      <c r="A130" s="67"/>
      <c r="B130" s="73"/>
      <c r="C130" s="74"/>
      <c r="D130" s="75"/>
      <c r="E130" s="76"/>
      <c r="F130" s="75"/>
      <c r="G130" s="62"/>
      <c r="H130" s="63" t="str">
        <f t="shared" si="1"/>
        <v/>
      </c>
      <c r="I130" s="55"/>
    </row>
    <row r="131">
      <c r="A131" s="67"/>
      <c r="B131" s="73"/>
      <c r="C131" s="74"/>
      <c r="D131" s="75"/>
      <c r="E131" s="76"/>
      <c r="F131" s="75"/>
      <c r="G131" s="62"/>
      <c r="H131" s="63" t="str">
        <f t="shared" si="1"/>
        <v/>
      </c>
      <c r="I131" s="55"/>
    </row>
    <row r="132">
      <c r="A132" s="67"/>
      <c r="B132" s="73"/>
      <c r="C132" s="74"/>
      <c r="D132" s="75"/>
      <c r="E132" s="76"/>
      <c r="F132" s="75"/>
      <c r="G132" s="62"/>
      <c r="H132" s="63" t="str">
        <f t="shared" si="1"/>
        <v/>
      </c>
      <c r="I132" s="55"/>
    </row>
    <row r="133">
      <c r="A133" s="67"/>
      <c r="B133" s="73"/>
      <c r="C133" s="74"/>
      <c r="D133" s="75"/>
      <c r="E133" s="76"/>
      <c r="F133" s="75"/>
      <c r="G133" s="62"/>
      <c r="H133" s="63" t="str">
        <f t="shared" si="1"/>
        <v/>
      </c>
      <c r="I133" s="55"/>
    </row>
    <row r="134">
      <c r="A134" s="67"/>
      <c r="B134" s="73"/>
      <c r="C134" s="74"/>
      <c r="D134" s="75"/>
      <c r="E134" s="76"/>
      <c r="F134" s="75"/>
      <c r="G134" s="62"/>
      <c r="H134" s="63" t="str">
        <f t="shared" si="1"/>
        <v/>
      </c>
      <c r="I134" s="55"/>
    </row>
    <row r="135">
      <c r="A135" s="67"/>
      <c r="B135" s="73"/>
      <c r="C135" s="74"/>
      <c r="D135" s="75"/>
      <c r="E135" s="76"/>
      <c r="F135" s="75"/>
      <c r="G135" s="62"/>
      <c r="H135" s="63" t="str">
        <f t="shared" si="1"/>
        <v/>
      </c>
      <c r="I135" s="55"/>
    </row>
    <row r="136">
      <c r="A136" s="67"/>
      <c r="B136" s="73"/>
      <c r="C136" s="74"/>
      <c r="D136" s="75"/>
      <c r="E136" s="76"/>
      <c r="F136" s="75"/>
      <c r="G136" s="62"/>
      <c r="H136" s="63" t="str">
        <f t="shared" si="1"/>
        <v/>
      </c>
      <c r="I136" s="55"/>
    </row>
    <row r="137">
      <c r="A137" s="67"/>
      <c r="B137" s="73"/>
      <c r="C137" s="74"/>
      <c r="D137" s="75"/>
      <c r="E137" s="76"/>
      <c r="F137" s="75"/>
      <c r="G137" s="62"/>
      <c r="H137" s="63" t="str">
        <f t="shared" si="1"/>
        <v/>
      </c>
      <c r="I137" s="55"/>
    </row>
    <row r="138">
      <c r="A138" s="67"/>
      <c r="B138" s="73"/>
      <c r="C138" s="74"/>
      <c r="D138" s="75"/>
      <c r="E138" s="76"/>
      <c r="F138" s="75"/>
      <c r="G138" s="62"/>
      <c r="H138" s="63" t="str">
        <f t="shared" si="1"/>
        <v/>
      </c>
      <c r="I138" s="55"/>
    </row>
    <row r="139">
      <c r="A139" s="67"/>
      <c r="B139" s="73"/>
      <c r="C139" s="74"/>
      <c r="D139" s="75"/>
      <c r="E139" s="76"/>
      <c r="F139" s="75"/>
      <c r="G139" s="62"/>
      <c r="H139" s="63" t="str">
        <f t="shared" si="1"/>
        <v/>
      </c>
      <c r="I139" s="55"/>
    </row>
    <row r="140">
      <c r="A140" s="67"/>
      <c r="B140" s="73"/>
      <c r="C140" s="74"/>
      <c r="D140" s="75"/>
      <c r="E140" s="76"/>
      <c r="F140" s="75"/>
      <c r="G140" s="62"/>
      <c r="H140" s="63" t="str">
        <f t="shared" si="1"/>
        <v/>
      </c>
      <c r="I140" s="55"/>
    </row>
    <row r="141">
      <c r="A141" s="67"/>
      <c r="B141" s="73"/>
      <c r="C141" s="74"/>
      <c r="D141" s="75"/>
      <c r="E141" s="76"/>
      <c r="F141" s="75"/>
      <c r="G141" s="62"/>
      <c r="H141" s="63" t="str">
        <f t="shared" si="1"/>
        <v/>
      </c>
      <c r="I141" s="55"/>
    </row>
    <row r="142">
      <c r="A142" s="67"/>
      <c r="B142" s="73"/>
      <c r="C142" s="74"/>
      <c r="D142" s="75"/>
      <c r="E142" s="76"/>
      <c r="F142" s="75"/>
      <c r="G142" s="62"/>
      <c r="H142" s="63" t="str">
        <f t="shared" si="1"/>
        <v/>
      </c>
      <c r="I142" s="55"/>
    </row>
    <row r="143">
      <c r="A143" s="67"/>
      <c r="B143" s="73"/>
      <c r="C143" s="74"/>
      <c r="D143" s="75"/>
      <c r="E143" s="76"/>
      <c r="F143" s="75"/>
      <c r="G143" s="62"/>
      <c r="H143" s="63" t="str">
        <f t="shared" si="1"/>
        <v/>
      </c>
      <c r="I143" s="55"/>
    </row>
    <row r="144">
      <c r="A144" s="67"/>
      <c r="B144" s="73"/>
      <c r="C144" s="74"/>
      <c r="D144" s="75"/>
      <c r="E144" s="76"/>
      <c r="F144" s="75"/>
      <c r="G144" s="62"/>
      <c r="H144" s="63" t="str">
        <f t="shared" si="1"/>
        <v/>
      </c>
      <c r="I144" s="55"/>
    </row>
    <row r="145">
      <c r="A145" s="67"/>
      <c r="B145" s="73"/>
      <c r="C145" s="74"/>
      <c r="D145" s="75"/>
      <c r="E145" s="76"/>
      <c r="F145" s="75"/>
      <c r="G145" s="62"/>
      <c r="H145" s="63" t="str">
        <f t="shared" si="1"/>
        <v/>
      </c>
      <c r="I145" s="55"/>
    </row>
    <row r="146">
      <c r="A146" s="67"/>
      <c r="B146" s="73"/>
      <c r="C146" s="74"/>
      <c r="D146" s="75"/>
      <c r="E146" s="76"/>
      <c r="F146" s="75"/>
      <c r="G146" s="62"/>
      <c r="H146" s="63" t="str">
        <f t="shared" si="1"/>
        <v/>
      </c>
      <c r="I146" s="55"/>
    </row>
    <row r="147">
      <c r="A147" s="67"/>
      <c r="B147" s="73"/>
      <c r="C147" s="74"/>
      <c r="D147" s="75"/>
      <c r="E147" s="76"/>
      <c r="F147" s="75"/>
      <c r="G147" s="62"/>
      <c r="H147" s="63" t="str">
        <f t="shared" si="1"/>
        <v/>
      </c>
      <c r="I147" s="55"/>
    </row>
    <row r="148">
      <c r="A148" s="67"/>
      <c r="B148" s="73"/>
      <c r="C148" s="74"/>
      <c r="D148" s="75"/>
      <c r="E148" s="76"/>
      <c r="F148" s="75"/>
      <c r="G148" s="62"/>
      <c r="H148" s="63" t="str">
        <f t="shared" si="1"/>
        <v/>
      </c>
      <c r="I148" s="55"/>
    </row>
    <row r="149">
      <c r="A149" s="67"/>
      <c r="B149" s="73"/>
      <c r="C149" s="74"/>
      <c r="D149" s="75"/>
      <c r="E149" s="76"/>
      <c r="F149" s="75"/>
      <c r="G149" s="62"/>
      <c r="H149" s="63" t="str">
        <f t="shared" si="1"/>
        <v/>
      </c>
      <c r="I149" s="55"/>
    </row>
    <row r="150">
      <c r="A150" s="67"/>
      <c r="B150" s="73"/>
      <c r="C150" s="74"/>
      <c r="D150" s="75"/>
      <c r="E150" s="76"/>
      <c r="F150" s="75"/>
      <c r="G150" s="62"/>
      <c r="H150" s="63" t="str">
        <f t="shared" si="1"/>
        <v/>
      </c>
      <c r="I150" s="55"/>
    </row>
    <row r="151">
      <c r="A151" s="67"/>
      <c r="B151" s="73"/>
      <c r="C151" s="74"/>
      <c r="D151" s="75"/>
      <c r="E151" s="76"/>
      <c r="F151" s="75"/>
      <c r="G151" s="62"/>
      <c r="H151" s="63" t="str">
        <f t="shared" si="1"/>
        <v/>
      </c>
      <c r="I151" s="55"/>
    </row>
    <row r="152">
      <c r="A152" s="67"/>
      <c r="B152" s="73"/>
      <c r="C152" s="74"/>
      <c r="D152" s="75"/>
      <c r="E152" s="76"/>
      <c r="F152" s="75"/>
      <c r="G152" s="62"/>
      <c r="H152" s="63" t="str">
        <f t="shared" si="1"/>
        <v/>
      </c>
      <c r="I152" s="55"/>
    </row>
    <row r="153">
      <c r="A153" s="67"/>
      <c r="B153" s="73"/>
      <c r="C153" s="74"/>
      <c r="D153" s="75"/>
      <c r="E153" s="76"/>
      <c r="F153" s="75"/>
      <c r="G153" s="62"/>
      <c r="H153" s="63" t="str">
        <f t="shared" si="1"/>
        <v/>
      </c>
      <c r="I153" s="55"/>
    </row>
    <row r="154">
      <c r="A154" s="67"/>
      <c r="B154" s="73"/>
      <c r="C154" s="74"/>
      <c r="D154" s="75"/>
      <c r="E154" s="76"/>
      <c r="F154" s="75"/>
      <c r="G154" s="62"/>
      <c r="H154" s="63" t="str">
        <f t="shared" si="1"/>
        <v/>
      </c>
      <c r="I154" s="55"/>
    </row>
    <row r="155">
      <c r="A155" s="67"/>
      <c r="B155" s="73"/>
      <c r="C155" s="74"/>
      <c r="D155" s="75"/>
      <c r="E155" s="76"/>
      <c r="F155" s="75"/>
      <c r="G155" s="62"/>
      <c r="H155" s="63" t="str">
        <f t="shared" si="1"/>
        <v/>
      </c>
      <c r="I155" s="55"/>
    </row>
    <row r="156">
      <c r="A156" s="67"/>
      <c r="B156" s="73"/>
      <c r="C156" s="74"/>
      <c r="D156" s="75"/>
      <c r="E156" s="76"/>
      <c r="F156" s="75"/>
      <c r="G156" s="62"/>
      <c r="H156" s="63" t="str">
        <f t="shared" si="1"/>
        <v/>
      </c>
      <c r="I156" s="55"/>
    </row>
    <row r="157">
      <c r="A157" s="67"/>
      <c r="B157" s="73"/>
      <c r="C157" s="74"/>
      <c r="D157" s="75"/>
      <c r="E157" s="76"/>
      <c r="F157" s="75"/>
      <c r="G157" s="62"/>
      <c r="H157" s="63" t="str">
        <f t="shared" si="1"/>
        <v/>
      </c>
      <c r="I157" s="55"/>
    </row>
    <row r="158">
      <c r="A158" s="67"/>
      <c r="B158" s="73"/>
      <c r="C158" s="74"/>
      <c r="D158" s="75"/>
      <c r="E158" s="76"/>
      <c r="F158" s="75"/>
      <c r="G158" s="62"/>
      <c r="H158" s="63" t="str">
        <f t="shared" si="1"/>
        <v/>
      </c>
      <c r="I158" s="55"/>
    </row>
    <row r="159">
      <c r="A159" s="67"/>
      <c r="B159" s="73"/>
      <c r="C159" s="74"/>
      <c r="D159" s="75"/>
      <c r="E159" s="76"/>
      <c r="F159" s="75"/>
      <c r="G159" s="62"/>
      <c r="H159" s="63" t="str">
        <f t="shared" si="1"/>
        <v/>
      </c>
      <c r="I159" s="55"/>
    </row>
    <row r="160">
      <c r="A160" s="67"/>
      <c r="B160" s="73"/>
      <c r="C160" s="74"/>
      <c r="D160" s="75"/>
      <c r="E160" s="76"/>
      <c r="F160" s="75"/>
      <c r="G160" s="62"/>
      <c r="H160" s="63" t="str">
        <f t="shared" si="1"/>
        <v/>
      </c>
      <c r="I160" s="55"/>
    </row>
    <row r="161">
      <c r="A161" s="67"/>
      <c r="B161" s="73"/>
      <c r="C161" s="74"/>
      <c r="D161" s="75"/>
      <c r="E161" s="76"/>
      <c r="F161" s="75"/>
      <c r="G161" s="62"/>
      <c r="H161" s="63" t="str">
        <f t="shared" si="1"/>
        <v/>
      </c>
      <c r="I161" s="55"/>
    </row>
    <row r="162">
      <c r="A162" s="67"/>
      <c r="B162" s="73"/>
      <c r="C162" s="74"/>
      <c r="D162" s="75"/>
      <c r="E162" s="76"/>
      <c r="F162" s="75"/>
      <c r="G162" s="62"/>
      <c r="H162" s="63" t="str">
        <f t="shared" si="1"/>
        <v/>
      </c>
      <c r="I162" s="55"/>
    </row>
    <row r="163">
      <c r="A163" s="67"/>
      <c r="B163" s="73"/>
      <c r="C163" s="74"/>
      <c r="D163" s="75"/>
      <c r="E163" s="76"/>
      <c r="F163" s="75"/>
      <c r="G163" s="62"/>
      <c r="H163" s="63" t="str">
        <f t="shared" si="1"/>
        <v/>
      </c>
      <c r="I163" s="55"/>
    </row>
    <row r="164">
      <c r="A164" s="67"/>
      <c r="B164" s="73"/>
      <c r="C164" s="74"/>
      <c r="D164" s="75"/>
      <c r="E164" s="76"/>
      <c r="F164" s="75"/>
      <c r="G164" s="62"/>
      <c r="H164" s="63" t="str">
        <f t="shared" si="1"/>
        <v/>
      </c>
      <c r="I164" s="55"/>
    </row>
    <row r="165">
      <c r="A165" s="67"/>
      <c r="B165" s="73"/>
      <c r="C165" s="74"/>
      <c r="D165" s="75"/>
      <c r="E165" s="76"/>
      <c r="F165" s="75"/>
      <c r="G165" s="62"/>
      <c r="H165" s="63" t="str">
        <f t="shared" si="1"/>
        <v/>
      </c>
      <c r="I165" s="55"/>
    </row>
    <row r="166">
      <c r="A166" s="67"/>
      <c r="B166" s="73"/>
      <c r="C166" s="74"/>
      <c r="D166" s="75"/>
      <c r="E166" s="76"/>
      <c r="F166" s="75"/>
      <c r="G166" s="62"/>
      <c r="H166" s="63" t="str">
        <f t="shared" si="1"/>
        <v/>
      </c>
      <c r="I166" s="55"/>
    </row>
    <row r="167">
      <c r="A167" s="67"/>
      <c r="B167" s="73"/>
      <c r="C167" s="74"/>
      <c r="D167" s="75"/>
      <c r="E167" s="76"/>
      <c r="F167" s="75"/>
      <c r="G167" s="62"/>
      <c r="H167" s="63" t="str">
        <f t="shared" si="1"/>
        <v/>
      </c>
      <c r="I167" s="55"/>
    </row>
    <row r="168">
      <c r="A168" s="67"/>
      <c r="B168" s="73"/>
      <c r="C168" s="74"/>
      <c r="D168" s="75"/>
      <c r="E168" s="76"/>
      <c r="F168" s="75"/>
      <c r="G168" s="62"/>
      <c r="H168" s="63" t="str">
        <f t="shared" si="1"/>
        <v/>
      </c>
      <c r="I168" s="55"/>
    </row>
    <row r="169">
      <c r="A169" s="67"/>
      <c r="B169" s="73"/>
      <c r="C169" s="74"/>
      <c r="D169" s="75"/>
      <c r="E169" s="76"/>
      <c r="F169" s="75"/>
      <c r="G169" s="62"/>
      <c r="H169" s="63" t="str">
        <f t="shared" si="1"/>
        <v/>
      </c>
      <c r="I169" s="55"/>
    </row>
    <row r="170">
      <c r="A170" s="67"/>
      <c r="B170" s="73"/>
      <c r="C170" s="74"/>
      <c r="D170" s="75"/>
      <c r="E170" s="76"/>
      <c r="F170" s="75"/>
      <c r="G170" s="62"/>
      <c r="H170" s="63" t="str">
        <f t="shared" si="1"/>
        <v/>
      </c>
      <c r="I170" s="55"/>
    </row>
    <row r="171">
      <c r="A171" s="67"/>
      <c r="B171" s="73"/>
      <c r="C171" s="74"/>
      <c r="D171" s="75"/>
      <c r="E171" s="76"/>
      <c r="F171" s="75"/>
      <c r="G171" s="62"/>
      <c r="H171" s="63" t="str">
        <f t="shared" si="1"/>
        <v/>
      </c>
      <c r="I171" s="55"/>
    </row>
    <row r="172">
      <c r="A172" s="67"/>
      <c r="B172" s="73"/>
      <c r="C172" s="74"/>
      <c r="D172" s="75"/>
      <c r="E172" s="76"/>
      <c r="F172" s="75"/>
      <c r="G172" s="62"/>
      <c r="H172" s="63" t="str">
        <f t="shared" si="1"/>
        <v/>
      </c>
      <c r="I172" s="55"/>
    </row>
    <row r="173">
      <c r="A173" s="67"/>
      <c r="B173" s="73"/>
      <c r="C173" s="74"/>
      <c r="D173" s="75"/>
      <c r="E173" s="76"/>
      <c r="F173" s="75"/>
      <c r="G173" s="62"/>
      <c r="H173" s="63" t="str">
        <f t="shared" si="1"/>
        <v/>
      </c>
      <c r="I173" s="55"/>
    </row>
    <row r="174">
      <c r="A174" s="67"/>
      <c r="B174" s="73"/>
      <c r="C174" s="74"/>
      <c r="D174" s="75"/>
      <c r="E174" s="76"/>
      <c r="F174" s="75"/>
      <c r="G174" s="62"/>
      <c r="H174" s="63" t="str">
        <f t="shared" si="1"/>
        <v/>
      </c>
      <c r="I174" s="55"/>
    </row>
    <row r="175">
      <c r="A175" s="67"/>
      <c r="B175" s="73"/>
      <c r="C175" s="74"/>
      <c r="D175" s="75"/>
      <c r="E175" s="76"/>
      <c r="F175" s="75"/>
      <c r="G175" s="62"/>
      <c r="H175" s="63" t="str">
        <f t="shared" si="1"/>
        <v/>
      </c>
      <c r="I175" s="55"/>
    </row>
    <row r="176">
      <c r="A176" s="67"/>
      <c r="B176" s="73"/>
      <c r="C176" s="74"/>
      <c r="D176" s="75"/>
      <c r="E176" s="76"/>
      <c r="F176" s="75"/>
      <c r="G176" s="62"/>
      <c r="H176" s="63" t="str">
        <f t="shared" si="1"/>
        <v/>
      </c>
      <c r="I176" s="55"/>
    </row>
    <row r="177">
      <c r="A177" s="67"/>
      <c r="B177" s="73"/>
      <c r="C177" s="74"/>
      <c r="D177" s="75"/>
      <c r="E177" s="76"/>
      <c r="F177" s="75"/>
      <c r="G177" s="62"/>
      <c r="H177" s="63" t="str">
        <f t="shared" si="1"/>
        <v/>
      </c>
      <c r="I177" s="55"/>
    </row>
    <row r="178">
      <c r="A178" s="67"/>
      <c r="B178" s="73"/>
      <c r="C178" s="74"/>
      <c r="D178" s="75"/>
      <c r="E178" s="76"/>
      <c r="F178" s="75"/>
      <c r="G178" s="62"/>
      <c r="H178" s="63" t="str">
        <f t="shared" si="1"/>
        <v/>
      </c>
      <c r="I178" s="55"/>
    </row>
    <row r="179">
      <c r="A179" s="67"/>
      <c r="B179" s="73"/>
      <c r="C179" s="74"/>
      <c r="D179" s="75"/>
      <c r="E179" s="76"/>
      <c r="F179" s="75"/>
      <c r="G179" s="62"/>
      <c r="H179" s="63" t="str">
        <f t="shared" si="1"/>
        <v/>
      </c>
      <c r="I179" s="55"/>
    </row>
    <row r="180">
      <c r="A180" s="67"/>
      <c r="B180" s="73"/>
      <c r="C180" s="74"/>
      <c r="D180" s="75"/>
      <c r="E180" s="76"/>
      <c r="F180" s="75"/>
      <c r="G180" s="62"/>
      <c r="H180" s="63" t="str">
        <f t="shared" si="1"/>
        <v/>
      </c>
      <c r="I180" s="55"/>
    </row>
    <row r="181">
      <c r="A181" s="67"/>
      <c r="B181" s="73"/>
      <c r="C181" s="74"/>
      <c r="D181" s="75"/>
      <c r="E181" s="76"/>
      <c r="F181" s="75"/>
      <c r="G181" s="62"/>
      <c r="H181" s="63" t="str">
        <f t="shared" si="1"/>
        <v/>
      </c>
      <c r="I181" s="55"/>
    </row>
    <row r="182">
      <c r="A182" s="67"/>
      <c r="B182" s="73"/>
      <c r="C182" s="74"/>
      <c r="D182" s="75"/>
      <c r="E182" s="76"/>
      <c r="F182" s="75"/>
      <c r="G182" s="62"/>
      <c r="H182" s="63" t="str">
        <f t="shared" si="1"/>
        <v/>
      </c>
      <c r="I182" s="55"/>
    </row>
    <row r="183">
      <c r="A183" s="67"/>
      <c r="B183" s="73"/>
      <c r="C183" s="74"/>
      <c r="D183" s="75"/>
      <c r="E183" s="76"/>
      <c r="F183" s="75"/>
      <c r="G183" s="62"/>
      <c r="H183" s="63" t="str">
        <f t="shared" si="1"/>
        <v/>
      </c>
      <c r="I183" s="55"/>
    </row>
    <row r="184">
      <c r="A184" s="67"/>
      <c r="B184" s="73"/>
      <c r="C184" s="74"/>
      <c r="D184" s="75"/>
      <c r="E184" s="76"/>
      <c r="F184" s="75"/>
      <c r="G184" s="62"/>
      <c r="H184" s="63" t="str">
        <f t="shared" si="1"/>
        <v/>
      </c>
      <c r="I184" s="55"/>
    </row>
    <row r="185">
      <c r="A185" s="67"/>
      <c r="B185" s="73"/>
      <c r="C185" s="74"/>
      <c r="D185" s="75"/>
      <c r="E185" s="76"/>
      <c r="F185" s="75"/>
      <c r="G185" s="62"/>
      <c r="H185" s="63" t="str">
        <f t="shared" si="1"/>
        <v/>
      </c>
      <c r="I185" s="55"/>
    </row>
    <row r="186">
      <c r="A186" s="67"/>
      <c r="B186" s="73"/>
      <c r="C186" s="74"/>
      <c r="D186" s="75"/>
      <c r="E186" s="76"/>
      <c r="F186" s="75"/>
      <c r="G186" s="62"/>
      <c r="H186" s="63" t="str">
        <f t="shared" si="1"/>
        <v/>
      </c>
      <c r="I186" s="55"/>
    </row>
    <row r="187">
      <c r="A187" s="67"/>
      <c r="B187" s="73"/>
      <c r="C187" s="74"/>
      <c r="D187" s="75"/>
      <c r="E187" s="76"/>
      <c r="F187" s="75"/>
      <c r="G187" s="62"/>
      <c r="H187" s="63" t="str">
        <f t="shared" si="1"/>
        <v/>
      </c>
      <c r="I187" s="55"/>
    </row>
    <row r="188">
      <c r="A188" s="67"/>
      <c r="B188" s="73"/>
      <c r="C188" s="74"/>
      <c r="D188" s="75"/>
      <c r="E188" s="76"/>
      <c r="F188" s="75"/>
      <c r="G188" s="62"/>
      <c r="H188" s="63" t="str">
        <f t="shared" si="1"/>
        <v/>
      </c>
      <c r="I188" s="55"/>
    </row>
    <row r="189">
      <c r="A189" s="67"/>
      <c r="B189" s="73"/>
      <c r="C189" s="74"/>
      <c r="D189" s="75"/>
      <c r="E189" s="76"/>
      <c r="F189" s="75"/>
      <c r="G189" s="62"/>
      <c r="H189" s="63" t="str">
        <f t="shared" si="1"/>
        <v/>
      </c>
      <c r="I189" s="55"/>
    </row>
    <row r="190">
      <c r="A190" s="67"/>
      <c r="B190" s="73"/>
      <c r="C190" s="74"/>
      <c r="D190" s="75"/>
      <c r="E190" s="76"/>
      <c r="F190" s="75"/>
      <c r="G190" s="62"/>
      <c r="H190" s="63" t="str">
        <f t="shared" si="1"/>
        <v/>
      </c>
      <c r="I190" s="55"/>
    </row>
    <row r="191">
      <c r="A191" s="67"/>
      <c r="B191" s="73"/>
      <c r="C191" s="74"/>
      <c r="D191" s="75"/>
      <c r="E191" s="76"/>
      <c r="F191" s="75"/>
      <c r="G191" s="62"/>
      <c r="H191" s="63" t="str">
        <f t="shared" si="1"/>
        <v/>
      </c>
      <c r="I191" s="55"/>
    </row>
    <row r="192">
      <c r="A192" s="67"/>
      <c r="B192" s="73"/>
      <c r="C192" s="74"/>
      <c r="D192" s="75"/>
      <c r="E192" s="76"/>
      <c r="F192" s="75"/>
      <c r="G192" s="62"/>
      <c r="H192" s="63" t="str">
        <f t="shared" si="1"/>
        <v/>
      </c>
      <c r="I192" s="55"/>
    </row>
    <row r="193">
      <c r="A193" s="67"/>
      <c r="B193" s="73"/>
      <c r="C193" s="74"/>
      <c r="D193" s="75"/>
      <c r="E193" s="76"/>
      <c r="F193" s="75"/>
      <c r="G193" s="62"/>
      <c r="H193" s="63" t="str">
        <f t="shared" si="1"/>
        <v/>
      </c>
      <c r="I193" s="55"/>
    </row>
    <row r="194">
      <c r="A194" s="67"/>
      <c r="B194" s="73"/>
      <c r="C194" s="74"/>
      <c r="D194" s="75"/>
      <c r="E194" s="76"/>
      <c r="F194" s="75"/>
      <c r="G194" s="62"/>
      <c r="H194" s="63" t="str">
        <f t="shared" si="1"/>
        <v/>
      </c>
      <c r="I194" s="55"/>
    </row>
    <row r="195">
      <c r="A195" s="67"/>
      <c r="B195" s="73"/>
      <c r="C195" s="74"/>
      <c r="D195" s="75"/>
      <c r="E195" s="76"/>
      <c r="F195" s="75"/>
      <c r="G195" s="62"/>
      <c r="H195" s="63" t="str">
        <f t="shared" si="1"/>
        <v/>
      </c>
      <c r="I195" s="55"/>
    </row>
    <row r="196">
      <c r="A196" s="67"/>
      <c r="B196" s="73"/>
      <c r="C196" s="74"/>
      <c r="D196" s="75"/>
      <c r="E196" s="76"/>
      <c r="F196" s="75"/>
      <c r="G196" s="62"/>
      <c r="H196" s="63" t="str">
        <f t="shared" si="1"/>
        <v/>
      </c>
      <c r="I196" s="55"/>
    </row>
    <row r="197">
      <c r="A197" s="67"/>
      <c r="B197" s="73"/>
      <c r="C197" s="74"/>
      <c r="D197" s="75"/>
      <c r="E197" s="76"/>
      <c r="F197" s="75"/>
      <c r="G197" s="62"/>
      <c r="H197" s="63" t="str">
        <f t="shared" si="1"/>
        <v/>
      </c>
      <c r="I197" s="55"/>
    </row>
    <row r="198">
      <c r="A198" s="67"/>
      <c r="B198" s="73"/>
      <c r="C198" s="74"/>
      <c r="D198" s="75"/>
      <c r="E198" s="76"/>
      <c r="F198" s="75"/>
      <c r="G198" s="62"/>
      <c r="H198" s="63" t="str">
        <f t="shared" si="1"/>
        <v/>
      </c>
      <c r="I198" s="55"/>
    </row>
    <row r="199">
      <c r="A199" s="67"/>
      <c r="B199" s="73"/>
      <c r="C199" s="74"/>
      <c r="D199" s="75"/>
      <c r="E199" s="76"/>
      <c r="F199" s="75"/>
      <c r="G199" s="62"/>
      <c r="H199" s="63" t="str">
        <f t="shared" si="1"/>
        <v/>
      </c>
      <c r="I199" s="55"/>
    </row>
    <row r="200">
      <c r="A200" s="67"/>
      <c r="B200" s="73"/>
      <c r="C200" s="74"/>
      <c r="D200" s="75"/>
      <c r="E200" s="76"/>
      <c r="F200" s="75"/>
      <c r="G200" s="62"/>
      <c r="H200" s="63" t="str">
        <f t="shared" si="1"/>
        <v/>
      </c>
      <c r="I200" s="55"/>
    </row>
    <row r="201">
      <c r="A201" s="67"/>
      <c r="B201" s="73"/>
      <c r="C201" s="74"/>
      <c r="D201" s="75"/>
      <c r="E201" s="76"/>
      <c r="F201" s="75"/>
      <c r="G201" s="62"/>
      <c r="H201" s="63" t="str">
        <f t="shared" si="1"/>
        <v/>
      </c>
      <c r="I201" s="55"/>
    </row>
    <row r="202">
      <c r="A202" s="67"/>
      <c r="B202" s="73"/>
      <c r="C202" s="74"/>
      <c r="D202" s="75"/>
      <c r="E202" s="76"/>
      <c r="F202" s="75"/>
      <c r="G202" s="62"/>
      <c r="H202" s="63" t="str">
        <f t="shared" si="1"/>
        <v/>
      </c>
      <c r="I202" s="55"/>
    </row>
    <row r="203">
      <c r="A203" s="67"/>
      <c r="B203" s="73"/>
      <c r="C203" s="74"/>
      <c r="D203" s="75"/>
      <c r="E203" s="76"/>
      <c r="F203" s="75"/>
      <c r="G203" s="62"/>
      <c r="H203" s="63" t="str">
        <f t="shared" si="1"/>
        <v/>
      </c>
      <c r="I203" s="55"/>
    </row>
    <row r="204">
      <c r="A204" s="67"/>
      <c r="B204" s="73"/>
      <c r="C204" s="74"/>
      <c r="D204" s="75"/>
      <c r="E204" s="76"/>
      <c r="F204" s="75"/>
      <c r="G204" s="62"/>
      <c r="H204" s="63" t="str">
        <f t="shared" si="1"/>
        <v/>
      </c>
      <c r="I204" s="55"/>
    </row>
    <row r="205">
      <c r="A205" s="67"/>
      <c r="B205" s="73"/>
      <c r="C205" s="74"/>
      <c r="D205" s="75"/>
      <c r="E205" s="76"/>
      <c r="F205" s="75"/>
      <c r="G205" s="62"/>
      <c r="H205" s="63" t="str">
        <f t="shared" si="1"/>
        <v/>
      </c>
      <c r="I205" s="55"/>
    </row>
    <row r="206">
      <c r="A206" s="67"/>
      <c r="B206" s="73"/>
      <c r="C206" s="74"/>
      <c r="D206" s="75"/>
      <c r="E206" s="76"/>
      <c r="F206" s="75"/>
      <c r="G206" s="62"/>
      <c r="H206" s="63" t="str">
        <f t="shared" si="1"/>
        <v/>
      </c>
      <c r="I206" s="55"/>
    </row>
    <row r="207">
      <c r="A207" s="67"/>
      <c r="B207" s="73"/>
      <c r="C207" s="74"/>
      <c r="D207" s="75"/>
      <c r="E207" s="76"/>
      <c r="F207" s="75"/>
      <c r="G207" s="62"/>
      <c r="H207" s="63" t="str">
        <f t="shared" si="1"/>
        <v/>
      </c>
      <c r="I207" s="55"/>
    </row>
    <row r="208">
      <c r="A208" s="67"/>
      <c r="B208" s="73"/>
      <c r="C208" s="74"/>
      <c r="D208" s="75"/>
      <c r="E208" s="76"/>
      <c r="F208" s="75"/>
      <c r="G208" s="62"/>
      <c r="H208" s="63" t="str">
        <f t="shared" si="1"/>
        <v/>
      </c>
      <c r="I208" s="55"/>
    </row>
    <row r="209">
      <c r="A209" s="67"/>
      <c r="B209" s="73"/>
      <c r="C209" s="74"/>
      <c r="D209" s="75"/>
      <c r="E209" s="76"/>
      <c r="F209" s="75"/>
      <c r="G209" s="62"/>
      <c r="H209" s="63" t="str">
        <f t="shared" si="1"/>
        <v/>
      </c>
      <c r="I209" s="55"/>
    </row>
    <row r="210">
      <c r="A210" s="67"/>
      <c r="B210" s="73"/>
      <c r="C210" s="74"/>
      <c r="D210" s="75"/>
      <c r="E210" s="76"/>
      <c r="F210" s="75"/>
      <c r="G210" s="62"/>
      <c r="H210" s="63" t="str">
        <f t="shared" si="1"/>
        <v/>
      </c>
      <c r="I210" s="55"/>
    </row>
    <row r="211">
      <c r="A211" s="67"/>
      <c r="B211" s="73"/>
      <c r="C211" s="74"/>
      <c r="D211" s="75"/>
      <c r="E211" s="76"/>
      <c r="F211" s="75"/>
      <c r="G211" s="62"/>
      <c r="H211" s="63" t="str">
        <f t="shared" si="1"/>
        <v/>
      </c>
      <c r="I211" s="55"/>
    </row>
    <row r="212">
      <c r="A212" s="67"/>
      <c r="B212" s="73"/>
      <c r="C212" s="74"/>
      <c r="D212" s="75"/>
      <c r="E212" s="76"/>
      <c r="F212" s="75"/>
      <c r="G212" s="62"/>
      <c r="H212" s="63" t="str">
        <f t="shared" si="1"/>
        <v/>
      </c>
      <c r="I212" s="55"/>
    </row>
    <row r="213">
      <c r="A213" s="67"/>
      <c r="B213" s="73"/>
      <c r="C213" s="74"/>
      <c r="D213" s="75"/>
      <c r="E213" s="76"/>
      <c r="F213" s="75"/>
      <c r="G213" s="62"/>
      <c r="H213" s="63" t="str">
        <f t="shared" si="1"/>
        <v/>
      </c>
      <c r="I213" s="55"/>
    </row>
    <row r="214">
      <c r="A214" s="67"/>
      <c r="B214" s="73"/>
      <c r="C214" s="74"/>
      <c r="D214" s="75"/>
      <c r="E214" s="76"/>
      <c r="F214" s="75"/>
      <c r="G214" s="62"/>
      <c r="H214" s="63" t="str">
        <f t="shared" si="1"/>
        <v/>
      </c>
      <c r="I214" s="55"/>
    </row>
    <row r="215">
      <c r="A215" s="67"/>
      <c r="B215" s="73"/>
      <c r="C215" s="74"/>
      <c r="D215" s="75"/>
      <c r="E215" s="76"/>
      <c r="F215" s="75"/>
      <c r="G215" s="62"/>
      <c r="H215" s="63" t="str">
        <f t="shared" si="1"/>
        <v/>
      </c>
      <c r="I215" s="55"/>
    </row>
    <row r="216">
      <c r="A216" s="67"/>
      <c r="B216" s="73"/>
      <c r="C216" s="74"/>
      <c r="D216" s="75"/>
      <c r="E216" s="76"/>
      <c r="F216" s="75"/>
      <c r="G216" s="62"/>
      <c r="H216" s="63" t="str">
        <f t="shared" si="1"/>
        <v/>
      </c>
      <c r="I216" s="55"/>
    </row>
    <row r="217">
      <c r="A217" s="67"/>
      <c r="B217" s="73"/>
      <c r="C217" s="74"/>
      <c r="D217" s="75"/>
      <c r="E217" s="76"/>
      <c r="F217" s="75"/>
      <c r="G217" s="62"/>
      <c r="H217" s="63" t="str">
        <f t="shared" si="1"/>
        <v/>
      </c>
      <c r="I217" s="55"/>
    </row>
    <row r="218">
      <c r="A218" s="67"/>
      <c r="B218" s="73"/>
      <c r="C218" s="74"/>
      <c r="D218" s="75"/>
      <c r="E218" s="76"/>
      <c r="F218" s="75"/>
      <c r="G218" s="62"/>
      <c r="H218" s="63" t="str">
        <f t="shared" si="1"/>
        <v/>
      </c>
      <c r="I218" s="55"/>
    </row>
    <row r="219">
      <c r="A219" s="67"/>
      <c r="B219" s="73"/>
      <c r="C219" s="74"/>
      <c r="D219" s="75"/>
      <c r="E219" s="76"/>
      <c r="F219" s="75"/>
      <c r="G219" s="62"/>
      <c r="H219" s="63" t="str">
        <f t="shared" si="1"/>
        <v/>
      </c>
      <c r="I219" s="55"/>
    </row>
    <row r="220">
      <c r="A220" s="67"/>
      <c r="B220" s="73"/>
      <c r="C220" s="74"/>
      <c r="D220" s="75"/>
      <c r="E220" s="76"/>
      <c r="F220" s="75"/>
      <c r="G220" s="62"/>
      <c r="H220" s="63" t="str">
        <f t="shared" si="1"/>
        <v/>
      </c>
      <c r="I220" s="55"/>
    </row>
    <row r="221">
      <c r="A221" s="67"/>
      <c r="B221" s="73"/>
      <c r="C221" s="74"/>
      <c r="D221" s="75"/>
      <c r="E221" s="76"/>
      <c r="F221" s="75"/>
      <c r="G221" s="62"/>
      <c r="H221" s="63" t="str">
        <f t="shared" si="1"/>
        <v/>
      </c>
      <c r="I221" s="55"/>
    </row>
    <row r="222">
      <c r="A222" s="67"/>
      <c r="B222" s="73"/>
      <c r="C222" s="74"/>
      <c r="D222" s="75"/>
      <c r="E222" s="76"/>
      <c r="F222" s="75"/>
      <c r="G222" s="62"/>
      <c r="H222" s="63" t="str">
        <f t="shared" si="1"/>
        <v/>
      </c>
      <c r="I222" s="55"/>
    </row>
    <row r="223">
      <c r="A223" s="67"/>
      <c r="B223" s="73"/>
      <c r="C223" s="74"/>
      <c r="D223" s="75"/>
      <c r="E223" s="76"/>
      <c r="F223" s="75"/>
      <c r="G223" s="62"/>
      <c r="H223" s="63" t="str">
        <f t="shared" si="1"/>
        <v/>
      </c>
      <c r="I223" s="55"/>
    </row>
    <row r="224">
      <c r="A224" s="67"/>
      <c r="B224" s="73"/>
      <c r="C224" s="74"/>
      <c r="D224" s="75"/>
      <c r="E224" s="76"/>
      <c r="F224" s="75"/>
      <c r="G224" s="62"/>
      <c r="H224" s="63" t="str">
        <f t="shared" si="1"/>
        <v/>
      </c>
      <c r="I224" s="55"/>
    </row>
    <row r="225">
      <c r="A225" s="67"/>
      <c r="B225" s="73"/>
      <c r="C225" s="74"/>
      <c r="D225" s="75"/>
      <c r="E225" s="76"/>
      <c r="F225" s="75"/>
      <c r="G225" s="62"/>
      <c r="H225" s="63" t="str">
        <f t="shared" si="1"/>
        <v/>
      </c>
      <c r="I225" s="55"/>
    </row>
    <row r="226">
      <c r="A226" s="67"/>
      <c r="B226" s="73"/>
      <c r="C226" s="74"/>
      <c r="D226" s="75"/>
      <c r="E226" s="76"/>
      <c r="F226" s="75"/>
      <c r="G226" s="62"/>
      <c r="H226" s="63" t="str">
        <f t="shared" si="1"/>
        <v/>
      </c>
      <c r="I226" s="55"/>
    </row>
    <row r="227">
      <c r="A227" s="67"/>
      <c r="B227" s="73"/>
      <c r="C227" s="74"/>
      <c r="D227" s="75"/>
      <c r="E227" s="76"/>
      <c r="F227" s="75"/>
      <c r="G227" s="62"/>
      <c r="H227" s="63" t="str">
        <f t="shared" si="1"/>
        <v/>
      </c>
      <c r="I227" s="55"/>
    </row>
    <row r="228">
      <c r="A228" s="67"/>
      <c r="B228" s="73"/>
      <c r="C228" s="74"/>
      <c r="D228" s="75"/>
      <c r="E228" s="76"/>
      <c r="F228" s="75"/>
      <c r="G228" s="62"/>
      <c r="H228" s="63" t="str">
        <f t="shared" si="1"/>
        <v/>
      </c>
      <c r="I228" s="55"/>
    </row>
    <row r="229">
      <c r="A229" s="67"/>
      <c r="B229" s="73"/>
      <c r="C229" s="74"/>
      <c r="D229" s="75"/>
      <c r="E229" s="76"/>
      <c r="F229" s="75"/>
      <c r="G229" s="62"/>
      <c r="H229" s="63" t="str">
        <f t="shared" si="1"/>
        <v/>
      </c>
      <c r="I229" s="55"/>
    </row>
    <row r="230">
      <c r="A230" s="67"/>
      <c r="B230" s="73"/>
      <c r="C230" s="74"/>
      <c r="D230" s="75"/>
      <c r="E230" s="76"/>
      <c r="F230" s="75"/>
      <c r="G230" s="62"/>
      <c r="H230" s="63" t="str">
        <f t="shared" si="1"/>
        <v/>
      </c>
      <c r="I230" s="55"/>
    </row>
    <row r="231">
      <c r="A231" s="67"/>
      <c r="B231" s="73"/>
      <c r="C231" s="74"/>
      <c r="D231" s="75"/>
      <c r="E231" s="76"/>
      <c r="F231" s="75"/>
      <c r="G231" s="62"/>
      <c r="H231" s="63" t="str">
        <f t="shared" si="1"/>
        <v/>
      </c>
      <c r="I231" s="55"/>
    </row>
    <row r="232">
      <c r="A232" s="67"/>
      <c r="B232" s="73"/>
      <c r="C232" s="74"/>
      <c r="D232" s="75"/>
      <c r="E232" s="76"/>
      <c r="F232" s="75"/>
      <c r="G232" s="62"/>
      <c r="H232" s="63" t="str">
        <f t="shared" si="1"/>
        <v/>
      </c>
      <c r="I232" s="55"/>
    </row>
    <row r="233">
      <c r="A233" s="67"/>
      <c r="B233" s="73"/>
      <c r="C233" s="74"/>
      <c r="D233" s="75"/>
      <c r="E233" s="76"/>
      <c r="F233" s="75"/>
      <c r="G233" s="62"/>
      <c r="H233" s="63" t="str">
        <f t="shared" si="1"/>
        <v/>
      </c>
      <c r="I233" s="55"/>
    </row>
    <row r="234">
      <c r="A234" s="67"/>
      <c r="B234" s="73"/>
      <c r="C234" s="74"/>
      <c r="D234" s="75"/>
      <c r="E234" s="76"/>
      <c r="F234" s="75"/>
      <c r="G234" s="62"/>
      <c r="H234" s="63" t="str">
        <f t="shared" si="1"/>
        <v/>
      </c>
      <c r="I234" s="55"/>
    </row>
    <row r="235">
      <c r="A235" s="67"/>
      <c r="B235" s="73"/>
      <c r="C235" s="74"/>
      <c r="D235" s="75"/>
      <c r="E235" s="76"/>
      <c r="F235" s="75"/>
      <c r="G235" s="62"/>
      <c r="H235" s="63" t="str">
        <f t="shared" si="1"/>
        <v/>
      </c>
      <c r="I235" s="55"/>
    </row>
    <row r="236">
      <c r="A236" s="67"/>
      <c r="B236" s="73"/>
      <c r="C236" s="74"/>
      <c r="D236" s="75"/>
      <c r="E236" s="76"/>
      <c r="F236" s="75"/>
      <c r="G236" s="62"/>
      <c r="H236" s="63" t="str">
        <f t="shared" si="1"/>
        <v/>
      </c>
      <c r="I236" s="55"/>
    </row>
    <row r="237">
      <c r="A237" s="67"/>
      <c r="B237" s="73"/>
      <c r="C237" s="74"/>
      <c r="D237" s="75"/>
      <c r="E237" s="76"/>
      <c r="F237" s="75"/>
      <c r="G237" s="62"/>
      <c r="H237" s="63" t="str">
        <f t="shared" si="1"/>
        <v/>
      </c>
      <c r="I237" s="55"/>
    </row>
    <row r="238">
      <c r="A238" s="67"/>
      <c r="B238" s="73"/>
      <c r="C238" s="74"/>
      <c r="D238" s="75"/>
      <c r="E238" s="76"/>
      <c r="F238" s="75"/>
      <c r="G238" s="62"/>
      <c r="H238" s="63" t="str">
        <f t="shared" si="1"/>
        <v/>
      </c>
      <c r="I238" s="55"/>
    </row>
    <row r="239">
      <c r="A239" s="67"/>
      <c r="B239" s="73"/>
      <c r="C239" s="74"/>
      <c r="D239" s="75"/>
      <c r="E239" s="76"/>
      <c r="F239" s="75"/>
      <c r="G239" s="62"/>
      <c r="H239" s="63" t="str">
        <f t="shared" si="1"/>
        <v/>
      </c>
      <c r="I239" s="55"/>
    </row>
    <row r="240">
      <c r="A240" s="67"/>
      <c r="B240" s="73"/>
      <c r="C240" s="74"/>
      <c r="D240" s="75"/>
      <c r="E240" s="76"/>
      <c r="F240" s="75"/>
      <c r="G240" s="62"/>
      <c r="H240" s="63" t="str">
        <f t="shared" si="1"/>
        <v/>
      </c>
      <c r="I240" s="55"/>
    </row>
    <row r="241">
      <c r="A241" s="67"/>
      <c r="B241" s="73"/>
      <c r="C241" s="74"/>
      <c r="D241" s="75"/>
      <c r="E241" s="76"/>
      <c r="F241" s="75"/>
      <c r="G241" s="62"/>
      <c r="H241" s="63" t="str">
        <f t="shared" si="1"/>
        <v/>
      </c>
      <c r="I241" s="55"/>
    </row>
    <row r="242">
      <c r="A242" s="67"/>
      <c r="B242" s="73"/>
      <c r="C242" s="74"/>
      <c r="D242" s="75"/>
      <c r="E242" s="76"/>
      <c r="F242" s="75"/>
      <c r="G242" s="62"/>
      <c r="H242" s="63" t="str">
        <f t="shared" si="1"/>
        <v/>
      </c>
      <c r="I242" s="55"/>
    </row>
    <row r="243">
      <c r="A243" s="67"/>
      <c r="B243" s="73"/>
      <c r="C243" s="74"/>
      <c r="D243" s="75"/>
      <c r="E243" s="76"/>
      <c r="F243" s="75"/>
      <c r="G243" s="62"/>
      <c r="H243" s="63" t="str">
        <f t="shared" si="1"/>
        <v/>
      </c>
      <c r="I243" s="55"/>
    </row>
    <row r="244">
      <c r="A244" s="67"/>
      <c r="B244" s="73"/>
      <c r="C244" s="74"/>
      <c r="D244" s="75"/>
      <c r="E244" s="76"/>
      <c r="F244" s="75"/>
      <c r="G244" s="62"/>
      <c r="H244" s="63" t="str">
        <f t="shared" si="1"/>
        <v/>
      </c>
      <c r="I244" s="55"/>
    </row>
    <row r="245">
      <c r="A245" s="67"/>
      <c r="B245" s="73"/>
      <c r="C245" s="74"/>
      <c r="D245" s="75"/>
      <c r="E245" s="76"/>
      <c r="F245" s="75"/>
      <c r="G245" s="62"/>
      <c r="H245" s="63" t="str">
        <f t="shared" si="1"/>
        <v/>
      </c>
      <c r="I245" s="55"/>
    </row>
    <row r="246">
      <c r="A246" s="67"/>
      <c r="B246" s="73"/>
      <c r="C246" s="74"/>
      <c r="D246" s="75"/>
      <c r="E246" s="76"/>
      <c r="F246" s="75"/>
      <c r="G246" s="62"/>
      <c r="H246" s="63" t="str">
        <f t="shared" si="1"/>
        <v/>
      </c>
      <c r="I246" s="55"/>
    </row>
    <row r="247">
      <c r="A247" s="67"/>
      <c r="B247" s="73"/>
      <c r="C247" s="74"/>
      <c r="D247" s="75"/>
      <c r="E247" s="76"/>
      <c r="F247" s="75"/>
      <c r="G247" s="62"/>
      <c r="H247" s="63" t="str">
        <f t="shared" si="1"/>
        <v/>
      </c>
      <c r="I247" s="55"/>
    </row>
    <row r="248">
      <c r="A248" s="67"/>
      <c r="B248" s="73"/>
      <c r="C248" s="74"/>
      <c r="D248" s="75"/>
      <c r="E248" s="76"/>
      <c r="F248" s="75"/>
      <c r="G248" s="62"/>
      <c r="H248" s="63" t="str">
        <f t="shared" si="1"/>
        <v/>
      </c>
      <c r="I248" s="55"/>
    </row>
    <row r="249">
      <c r="A249" s="67"/>
      <c r="B249" s="73"/>
      <c r="C249" s="74"/>
      <c r="D249" s="75"/>
      <c r="E249" s="76"/>
      <c r="F249" s="75"/>
      <c r="G249" s="62"/>
      <c r="H249" s="63" t="str">
        <f t="shared" si="1"/>
        <v/>
      </c>
      <c r="I249" s="55"/>
    </row>
    <row r="250">
      <c r="A250" s="67"/>
      <c r="B250" s="73"/>
      <c r="C250" s="74"/>
      <c r="D250" s="75"/>
      <c r="E250" s="76"/>
      <c r="F250" s="75"/>
      <c r="G250" s="62"/>
      <c r="H250" s="63" t="str">
        <f t="shared" si="1"/>
        <v/>
      </c>
      <c r="I250" s="55"/>
    </row>
    <row r="251">
      <c r="A251" s="67"/>
      <c r="B251" s="73"/>
      <c r="C251" s="74"/>
      <c r="D251" s="75"/>
      <c r="E251" s="76"/>
      <c r="F251" s="75"/>
      <c r="G251" s="62"/>
      <c r="H251" s="63" t="str">
        <f t="shared" si="1"/>
        <v/>
      </c>
      <c r="I251" s="55"/>
    </row>
    <row r="252">
      <c r="A252" s="67"/>
      <c r="B252" s="73"/>
      <c r="C252" s="74"/>
      <c r="D252" s="75"/>
      <c r="E252" s="76"/>
      <c r="F252" s="75"/>
      <c r="G252" s="62"/>
      <c r="H252" s="63" t="str">
        <f t="shared" si="1"/>
        <v/>
      </c>
      <c r="I252" s="55"/>
    </row>
    <row r="253">
      <c r="A253" s="67"/>
      <c r="B253" s="73"/>
      <c r="C253" s="74"/>
      <c r="D253" s="75"/>
      <c r="E253" s="76"/>
      <c r="F253" s="75"/>
      <c r="G253" s="62"/>
      <c r="H253" s="63" t="str">
        <f t="shared" si="1"/>
        <v/>
      </c>
      <c r="I253" s="55"/>
    </row>
    <row r="254">
      <c r="A254" s="67"/>
      <c r="B254" s="73"/>
      <c r="C254" s="74"/>
      <c r="D254" s="75"/>
      <c r="E254" s="76"/>
      <c r="F254" s="75"/>
      <c r="G254" s="62"/>
      <c r="H254" s="63" t="str">
        <f t="shared" si="1"/>
        <v/>
      </c>
      <c r="I254" s="55"/>
    </row>
    <row r="255">
      <c r="A255" s="67"/>
      <c r="B255" s="73"/>
      <c r="C255" s="74"/>
      <c r="D255" s="75"/>
      <c r="E255" s="76"/>
      <c r="F255" s="75"/>
      <c r="G255" s="62"/>
      <c r="H255" s="63" t="str">
        <f t="shared" si="1"/>
        <v/>
      </c>
      <c r="I255" s="55"/>
    </row>
    <row r="256">
      <c r="A256" s="67"/>
      <c r="B256" s="73"/>
      <c r="C256" s="74"/>
      <c r="D256" s="75"/>
      <c r="E256" s="76"/>
      <c r="F256" s="75"/>
      <c r="G256" s="62"/>
      <c r="H256" s="63" t="str">
        <f t="shared" si="1"/>
        <v/>
      </c>
      <c r="I256" s="55"/>
    </row>
    <row r="257">
      <c r="A257" s="67"/>
      <c r="B257" s="73"/>
      <c r="C257" s="74"/>
      <c r="D257" s="75"/>
      <c r="E257" s="76"/>
      <c r="F257" s="75"/>
      <c r="G257" s="62"/>
      <c r="H257" s="63" t="str">
        <f t="shared" si="1"/>
        <v/>
      </c>
      <c r="I257" s="55"/>
    </row>
    <row r="258">
      <c r="A258" s="67"/>
      <c r="B258" s="73"/>
      <c r="C258" s="74"/>
      <c r="D258" s="75"/>
      <c r="E258" s="76"/>
      <c r="F258" s="75"/>
      <c r="G258" s="62"/>
      <c r="H258" s="63" t="str">
        <f t="shared" si="1"/>
        <v/>
      </c>
      <c r="I258" s="55"/>
    </row>
    <row r="259">
      <c r="A259" s="67"/>
      <c r="B259" s="73"/>
      <c r="C259" s="74"/>
      <c r="D259" s="75"/>
      <c r="E259" s="76"/>
      <c r="F259" s="75"/>
      <c r="G259" s="62"/>
      <c r="H259" s="63" t="str">
        <f t="shared" si="1"/>
        <v/>
      </c>
      <c r="I259" s="55"/>
    </row>
    <row r="260">
      <c r="A260" s="67"/>
      <c r="B260" s="73"/>
      <c r="C260" s="74"/>
      <c r="D260" s="75"/>
      <c r="E260" s="76"/>
      <c r="F260" s="75"/>
      <c r="G260" s="62"/>
      <c r="H260" s="63" t="str">
        <f t="shared" si="1"/>
        <v/>
      </c>
      <c r="I260" s="55"/>
    </row>
    <row r="261">
      <c r="A261" s="67"/>
      <c r="B261" s="73"/>
      <c r="C261" s="74"/>
      <c r="D261" s="75"/>
      <c r="E261" s="76"/>
      <c r="F261" s="75"/>
      <c r="G261" s="62"/>
      <c r="H261" s="63" t="str">
        <f t="shared" si="1"/>
        <v/>
      </c>
      <c r="I261" s="55"/>
    </row>
    <row r="262">
      <c r="A262" s="67"/>
      <c r="B262" s="73"/>
      <c r="C262" s="74"/>
      <c r="D262" s="75"/>
      <c r="E262" s="76"/>
      <c r="F262" s="75"/>
      <c r="G262" s="62"/>
      <c r="H262" s="63" t="str">
        <f t="shared" si="1"/>
        <v/>
      </c>
      <c r="I262" s="55"/>
    </row>
    <row r="263">
      <c r="A263" s="67"/>
      <c r="B263" s="73"/>
      <c r="C263" s="74"/>
      <c r="D263" s="75"/>
      <c r="E263" s="76"/>
      <c r="F263" s="75"/>
      <c r="G263" s="62"/>
      <c r="H263" s="63" t="str">
        <f t="shared" si="1"/>
        <v/>
      </c>
      <c r="I263" s="55"/>
    </row>
    <row r="264">
      <c r="A264" s="67"/>
      <c r="B264" s="73"/>
      <c r="C264" s="74"/>
      <c r="D264" s="75"/>
      <c r="E264" s="76"/>
      <c r="F264" s="75"/>
      <c r="G264" s="62"/>
      <c r="H264" s="63" t="str">
        <f t="shared" si="1"/>
        <v/>
      </c>
      <c r="I264" s="55"/>
    </row>
    <row r="265">
      <c r="A265" s="67"/>
      <c r="B265" s="73"/>
      <c r="C265" s="74"/>
      <c r="D265" s="75"/>
      <c r="E265" s="76"/>
      <c r="F265" s="75"/>
      <c r="G265" s="62"/>
      <c r="H265" s="63" t="str">
        <f t="shared" si="1"/>
        <v/>
      </c>
      <c r="I265" s="55"/>
    </row>
    <row r="266">
      <c r="A266" s="67"/>
      <c r="B266" s="73"/>
      <c r="C266" s="74"/>
      <c r="D266" s="75"/>
      <c r="E266" s="76"/>
      <c r="F266" s="75"/>
      <c r="G266" s="62"/>
      <c r="H266" s="63" t="str">
        <f t="shared" si="1"/>
        <v/>
      </c>
      <c r="I266" s="55"/>
    </row>
    <row r="267">
      <c r="A267" s="67"/>
      <c r="B267" s="73"/>
      <c r="C267" s="74"/>
      <c r="D267" s="75"/>
      <c r="E267" s="76"/>
      <c r="F267" s="75"/>
      <c r="G267" s="62"/>
      <c r="H267" s="63" t="str">
        <f t="shared" si="1"/>
        <v/>
      </c>
      <c r="I267" s="55"/>
    </row>
    <row r="268">
      <c r="A268" s="67"/>
      <c r="B268" s="73"/>
      <c r="C268" s="74"/>
      <c r="D268" s="75"/>
      <c r="E268" s="76"/>
      <c r="F268" s="75"/>
      <c r="G268" s="62"/>
      <c r="H268" s="63" t="str">
        <f t="shared" si="1"/>
        <v/>
      </c>
      <c r="I268" s="55"/>
    </row>
    <row r="269">
      <c r="A269" s="67"/>
      <c r="B269" s="73"/>
      <c r="C269" s="74"/>
      <c r="D269" s="75"/>
      <c r="E269" s="76"/>
      <c r="F269" s="75"/>
      <c r="G269" s="62"/>
      <c r="H269" s="63" t="str">
        <f t="shared" si="1"/>
        <v/>
      </c>
      <c r="I269" s="55"/>
    </row>
    <row r="270">
      <c r="A270" s="67"/>
      <c r="B270" s="73"/>
      <c r="C270" s="74"/>
      <c r="D270" s="75"/>
      <c r="E270" s="76"/>
      <c r="F270" s="75"/>
      <c r="G270" s="62"/>
      <c r="H270" s="63" t="str">
        <f t="shared" si="1"/>
        <v/>
      </c>
      <c r="I270" s="55"/>
    </row>
    <row r="271">
      <c r="A271" s="67"/>
      <c r="B271" s="73"/>
      <c r="C271" s="74"/>
      <c r="D271" s="75"/>
      <c r="E271" s="76"/>
      <c r="F271" s="75"/>
      <c r="G271" s="62"/>
      <c r="H271" s="63" t="str">
        <f t="shared" si="1"/>
        <v/>
      </c>
      <c r="I271" s="55"/>
    </row>
    <row r="272">
      <c r="A272" s="67"/>
      <c r="B272" s="73"/>
      <c r="C272" s="74"/>
      <c r="D272" s="75"/>
      <c r="E272" s="76"/>
      <c r="F272" s="75"/>
      <c r="G272" s="62"/>
      <c r="H272" s="63" t="str">
        <f t="shared" si="1"/>
        <v/>
      </c>
      <c r="I272" s="55"/>
    </row>
    <row r="273">
      <c r="A273" s="67"/>
      <c r="B273" s="73"/>
      <c r="C273" s="74"/>
      <c r="D273" s="75"/>
      <c r="E273" s="76"/>
      <c r="F273" s="75"/>
      <c r="G273" s="62"/>
      <c r="H273" s="63" t="str">
        <f t="shared" si="1"/>
        <v/>
      </c>
      <c r="I273" s="55"/>
    </row>
    <row r="274">
      <c r="A274" s="67"/>
      <c r="B274" s="73"/>
      <c r="C274" s="74"/>
      <c r="D274" s="75"/>
      <c r="E274" s="76"/>
      <c r="F274" s="75"/>
      <c r="G274" s="62"/>
      <c r="H274" s="63" t="str">
        <f t="shared" si="1"/>
        <v/>
      </c>
      <c r="I274" s="55"/>
    </row>
    <row r="275">
      <c r="A275" s="67"/>
      <c r="B275" s="73"/>
      <c r="C275" s="74"/>
      <c r="D275" s="75"/>
      <c r="E275" s="76"/>
      <c r="F275" s="75"/>
      <c r="G275" s="62"/>
      <c r="H275" s="63" t="str">
        <f t="shared" si="1"/>
        <v/>
      </c>
      <c r="I275" s="55"/>
    </row>
    <row r="276">
      <c r="A276" s="67"/>
      <c r="B276" s="73"/>
      <c r="C276" s="74"/>
      <c r="D276" s="75"/>
      <c r="E276" s="76"/>
      <c r="F276" s="75"/>
      <c r="G276" s="62"/>
      <c r="H276" s="63" t="str">
        <f t="shared" si="1"/>
        <v/>
      </c>
      <c r="I276" s="55"/>
    </row>
    <row r="277">
      <c r="A277" s="67"/>
      <c r="B277" s="73"/>
      <c r="C277" s="74"/>
      <c r="D277" s="75"/>
      <c r="E277" s="76"/>
      <c r="F277" s="75"/>
      <c r="G277" s="62"/>
      <c r="H277" s="63" t="str">
        <f t="shared" si="1"/>
        <v/>
      </c>
      <c r="I277" s="55"/>
    </row>
    <row r="278">
      <c r="A278" s="67"/>
      <c r="B278" s="73"/>
      <c r="C278" s="74"/>
      <c r="D278" s="75"/>
      <c r="E278" s="76"/>
      <c r="F278" s="75"/>
      <c r="G278" s="62"/>
      <c r="H278" s="63" t="str">
        <f t="shared" si="1"/>
        <v/>
      </c>
      <c r="I278" s="55"/>
    </row>
    <row r="279">
      <c r="A279" s="67"/>
      <c r="B279" s="73"/>
      <c r="C279" s="74"/>
      <c r="D279" s="75"/>
      <c r="E279" s="76"/>
      <c r="F279" s="75"/>
      <c r="G279" s="62"/>
      <c r="H279" s="63" t="str">
        <f t="shared" si="1"/>
        <v/>
      </c>
      <c r="I279" s="55"/>
    </row>
    <row r="280">
      <c r="A280" s="67"/>
      <c r="B280" s="73"/>
      <c r="C280" s="74"/>
      <c r="D280" s="75"/>
      <c r="E280" s="76"/>
      <c r="F280" s="75"/>
      <c r="G280" s="62"/>
      <c r="H280" s="63" t="str">
        <f t="shared" si="1"/>
        <v/>
      </c>
      <c r="I280" s="55"/>
    </row>
    <row r="281">
      <c r="A281" s="67"/>
      <c r="B281" s="73"/>
      <c r="C281" s="74"/>
      <c r="D281" s="75"/>
      <c r="E281" s="76"/>
      <c r="F281" s="75"/>
      <c r="G281" s="62"/>
      <c r="H281" s="63" t="str">
        <f t="shared" si="1"/>
        <v/>
      </c>
      <c r="I281" s="55"/>
    </row>
    <row r="282">
      <c r="A282" s="67"/>
      <c r="B282" s="73"/>
      <c r="C282" s="74"/>
      <c r="D282" s="75"/>
      <c r="E282" s="76"/>
      <c r="F282" s="75"/>
      <c r="G282" s="62"/>
      <c r="H282" s="63" t="str">
        <f t="shared" si="1"/>
        <v/>
      </c>
      <c r="I282" s="55"/>
    </row>
    <row r="283">
      <c r="A283" s="67"/>
      <c r="B283" s="73"/>
      <c r="C283" s="74"/>
      <c r="D283" s="75"/>
      <c r="E283" s="76"/>
      <c r="F283" s="75"/>
      <c r="G283" s="62"/>
      <c r="H283" s="63" t="str">
        <f t="shared" si="1"/>
        <v/>
      </c>
      <c r="I283" s="55"/>
    </row>
    <row r="284">
      <c r="A284" s="67"/>
      <c r="B284" s="73"/>
      <c r="C284" s="74"/>
      <c r="D284" s="75"/>
      <c r="E284" s="76"/>
      <c r="F284" s="75"/>
      <c r="G284" s="62"/>
      <c r="H284" s="63" t="str">
        <f t="shared" si="1"/>
        <v/>
      </c>
      <c r="I284" s="55"/>
    </row>
    <row r="285">
      <c r="A285" s="67"/>
      <c r="B285" s="73"/>
      <c r="C285" s="74"/>
      <c r="D285" s="75"/>
      <c r="E285" s="76"/>
      <c r="F285" s="75"/>
      <c r="G285" s="62"/>
      <c r="H285" s="63" t="str">
        <f t="shared" si="1"/>
        <v/>
      </c>
      <c r="I285" s="55"/>
    </row>
    <row r="286">
      <c r="A286" s="67"/>
      <c r="B286" s="73"/>
      <c r="C286" s="74"/>
      <c r="D286" s="75"/>
      <c r="E286" s="76"/>
      <c r="F286" s="75"/>
      <c r="G286" s="62"/>
      <c r="H286" s="63" t="str">
        <f t="shared" si="1"/>
        <v/>
      </c>
      <c r="I286" s="55"/>
    </row>
    <row r="287">
      <c r="A287" s="67"/>
      <c r="B287" s="73"/>
      <c r="C287" s="74"/>
      <c r="D287" s="75"/>
      <c r="E287" s="76"/>
      <c r="F287" s="75"/>
      <c r="G287" s="62"/>
      <c r="H287" s="63" t="str">
        <f t="shared" si="1"/>
        <v/>
      </c>
      <c r="I287" s="55"/>
    </row>
    <row r="288">
      <c r="A288" s="67"/>
      <c r="B288" s="73"/>
      <c r="C288" s="74"/>
      <c r="D288" s="75"/>
      <c r="E288" s="76"/>
      <c r="F288" s="75"/>
      <c r="G288" s="62"/>
      <c r="H288" s="63" t="str">
        <f t="shared" si="1"/>
        <v/>
      </c>
      <c r="I288" s="55"/>
    </row>
    <row r="289">
      <c r="A289" s="67"/>
      <c r="B289" s="73"/>
      <c r="C289" s="74"/>
      <c r="D289" s="75"/>
      <c r="E289" s="76"/>
      <c r="F289" s="75"/>
      <c r="G289" s="62"/>
      <c r="H289" s="63" t="str">
        <f t="shared" si="1"/>
        <v/>
      </c>
      <c r="I289" s="55"/>
    </row>
    <row r="290">
      <c r="A290" s="67"/>
      <c r="B290" s="73"/>
      <c r="C290" s="74"/>
      <c r="D290" s="75"/>
      <c r="E290" s="76"/>
      <c r="F290" s="75"/>
      <c r="G290" s="62"/>
      <c r="H290" s="63" t="str">
        <f t="shared" si="1"/>
        <v/>
      </c>
      <c r="I290" s="55"/>
    </row>
    <row r="291">
      <c r="A291" s="67"/>
      <c r="B291" s="73"/>
      <c r="C291" s="74"/>
      <c r="D291" s="75"/>
      <c r="E291" s="76"/>
      <c r="F291" s="75"/>
      <c r="G291" s="62"/>
      <c r="H291" s="63" t="str">
        <f t="shared" si="1"/>
        <v/>
      </c>
      <c r="I291" s="55"/>
    </row>
    <row r="292">
      <c r="A292" s="67"/>
      <c r="B292" s="73"/>
      <c r="C292" s="74"/>
      <c r="D292" s="75"/>
      <c r="E292" s="76"/>
      <c r="F292" s="75"/>
      <c r="G292" s="62"/>
      <c r="H292" s="63" t="str">
        <f t="shared" si="1"/>
        <v/>
      </c>
      <c r="I292" s="55"/>
    </row>
    <row r="293">
      <c r="A293" s="67"/>
      <c r="B293" s="73"/>
      <c r="C293" s="74"/>
      <c r="D293" s="75"/>
      <c r="E293" s="76"/>
      <c r="F293" s="75"/>
      <c r="G293" s="62"/>
      <c r="H293" s="63" t="str">
        <f t="shared" si="1"/>
        <v/>
      </c>
      <c r="I293" s="55"/>
    </row>
    <row r="294">
      <c r="A294" s="67"/>
      <c r="B294" s="73"/>
      <c r="C294" s="74"/>
      <c r="D294" s="75"/>
      <c r="E294" s="76"/>
      <c r="F294" s="75"/>
      <c r="G294" s="62"/>
      <c r="H294" s="63" t="str">
        <f t="shared" si="1"/>
        <v/>
      </c>
      <c r="I294" s="55"/>
    </row>
    <row r="295">
      <c r="A295" s="67"/>
      <c r="B295" s="73"/>
      <c r="C295" s="74"/>
      <c r="D295" s="75"/>
      <c r="E295" s="76"/>
      <c r="F295" s="75"/>
      <c r="G295" s="62"/>
      <c r="H295" s="63" t="str">
        <f t="shared" si="1"/>
        <v/>
      </c>
      <c r="I295" s="55"/>
    </row>
    <row r="296">
      <c r="A296" s="67"/>
      <c r="B296" s="73"/>
      <c r="C296" s="74"/>
      <c r="D296" s="75"/>
      <c r="E296" s="76"/>
      <c r="F296" s="75"/>
      <c r="G296" s="62"/>
      <c r="H296" s="63" t="str">
        <f t="shared" si="1"/>
        <v/>
      </c>
      <c r="I296" s="55"/>
    </row>
    <row r="297">
      <c r="A297" s="67"/>
      <c r="B297" s="73"/>
      <c r="C297" s="74"/>
      <c r="D297" s="75"/>
      <c r="E297" s="76"/>
      <c r="F297" s="75"/>
      <c r="G297" s="62"/>
      <c r="H297" s="63" t="str">
        <f t="shared" si="1"/>
        <v/>
      </c>
      <c r="I297" s="55"/>
    </row>
    <row r="298">
      <c r="A298" s="67"/>
      <c r="B298" s="73"/>
      <c r="C298" s="74"/>
      <c r="D298" s="75"/>
      <c r="E298" s="76"/>
      <c r="F298" s="75"/>
      <c r="G298" s="62"/>
      <c r="H298" s="63" t="str">
        <f t="shared" si="1"/>
        <v/>
      </c>
      <c r="I298" s="55"/>
    </row>
    <row r="299">
      <c r="A299" s="67"/>
      <c r="B299" s="73"/>
      <c r="C299" s="74"/>
      <c r="D299" s="75"/>
      <c r="E299" s="76"/>
      <c r="F299" s="75"/>
      <c r="G299" s="62"/>
      <c r="H299" s="63" t="str">
        <f t="shared" si="1"/>
        <v/>
      </c>
      <c r="I299" s="55"/>
    </row>
    <row r="300">
      <c r="A300" s="67"/>
      <c r="B300" s="73"/>
      <c r="C300" s="74"/>
      <c r="D300" s="75"/>
      <c r="E300" s="76"/>
      <c r="F300" s="75"/>
      <c r="G300" s="62"/>
      <c r="H300" s="63" t="str">
        <f t="shared" si="1"/>
        <v/>
      </c>
      <c r="I300" s="55"/>
    </row>
    <row r="301">
      <c r="A301" s="67"/>
      <c r="B301" s="73"/>
      <c r="C301" s="74"/>
      <c r="D301" s="75"/>
      <c r="E301" s="76"/>
      <c r="F301" s="75"/>
      <c r="G301" s="62"/>
      <c r="H301" s="63" t="str">
        <f t="shared" si="1"/>
        <v/>
      </c>
      <c r="I301" s="55"/>
    </row>
    <row r="302">
      <c r="A302" s="67"/>
      <c r="B302" s="73"/>
      <c r="C302" s="74"/>
      <c r="D302" s="75"/>
      <c r="E302" s="76"/>
      <c r="F302" s="75"/>
      <c r="G302" s="62"/>
      <c r="H302" s="63" t="str">
        <f t="shared" si="1"/>
        <v/>
      </c>
      <c r="I302" s="55"/>
    </row>
    <row r="303">
      <c r="A303" s="67"/>
      <c r="B303" s="73"/>
      <c r="C303" s="74"/>
      <c r="D303" s="75"/>
      <c r="E303" s="76"/>
      <c r="F303" s="75"/>
      <c r="G303" s="62"/>
      <c r="H303" s="63" t="str">
        <f t="shared" si="1"/>
        <v/>
      </c>
      <c r="I303" s="55"/>
    </row>
    <row r="304">
      <c r="A304" s="67"/>
      <c r="B304" s="73"/>
      <c r="C304" s="74"/>
      <c r="D304" s="75"/>
      <c r="E304" s="76"/>
      <c r="F304" s="75"/>
      <c r="G304" s="62"/>
      <c r="H304" s="63" t="str">
        <f t="shared" si="1"/>
        <v/>
      </c>
      <c r="I304" s="55"/>
    </row>
    <row r="305">
      <c r="A305" s="67"/>
      <c r="B305" s="73"/>
      <c r="C305" s="74"/>
      <c r="D305" s="75"/>
      <c r="E305" s="76"/>
      <c r="F305" s="75"/>
      <c r="G305" s="62"/>
      <c r="H305" s="63" t="str">
        <f t="shared" si="1"/>
        <v/>
      </c>
      <c r="I305" s="55"/>
    </row>
    <row r="306">
      <c r="A306" s="67"/>
      <c r="B306" s="73"/>
      <c r="C306" s="74"/>
      <c r="D306" s="75"/>
      <c r="E306" s="76"/>
      <c r="F306" s="75"/>
      <c r="G306" s="62"/>
      <c r="H306" s="63" t="str">
        <f t="shared" si="1"/>
        <v/>
      </c>
      <c r="I306" s="55"/>
    </row>
    <row r="307">
      <c r="A307" s="67"/>
      <c r="B307" s="73"/>
      <c r="C307" s="74"/>
      <c r="D307" s="75"/>
      <c r="E307" s="76"/>
      <c r="F307" s="75"/>
      <c r="G307" s="62"/>
      <c r="H307" s="63" t="str">
        <f t="shared" si="1"/>
        <v/>
      </c>
      <c r="I307" s="55"/>
    </row>
    <row r="308">
      <c r="A308" s="67"/>
      <c r="B308" s="73"/>
      <c r="C308" s="74"/>
      <c r="D308" s="75"/>
      <c r="E308" s="76"/>
      <c r="F308" s="75"/>
      <c r="G308" s="62"/>
      <c r="H308" s="63" t="str">
        <f t="shared" si="1"/>
        <v/>
      </c>
      <c r="I308" s="55"/>
    </row>
    <row r="309">
      <c r="A309" s="67"/>
      <c r="B309" s="73"/>
      <c r="C309" s="74"/>
      <c r="D309" s="75"/>
      <c r="E309" s="76"/>
      <c r="F309" s="75"/>
      <c r="G309" s="62"/>
      <c r="H309" s="63" t="str">
        <f t="shared" si="1"/>
        <v/>
      </c>
      <c r="I309" s="55"/>
    </row>
    <row r="310">
      <c r="A310" s="67"/>
      <c r="B310" s="73"/>
      <c r="C310" s="74"/>
      <c r="D310" s="75"/>
      <c r="E310" s="76"/>
      <c r="F310" s="75"/>
      <c r="G310" s="62"/>
      <c r="H310" s="63" t="str">
        <f t="shared" si="1"/>
        <v/>
      </c>
      <c r="I310" s="55"/>
    </row>
    <row r="311">
      <c r="A311" s="67"/>
      <c r="B311" s="73"/>
      <c r="C311" s="74"/>
      <c r="D311" s="75"/>
      <c r="E311" s="76"/>
      <c r="F311" s="75"/>
      <c r="G311" s="62"/>
      <c r="H311" s="63" t="str">
        <f t="shared" si="1"/>
        <v/>
      </c>
      <c r="I311" s="55"/>
    </row>
    <row r="312">
      <c r="A312" s="67"/>
      <c r="B312" s="73"/>
      <c r="C312" s="74"/>
      <c r="D312" s="75"/>
      <c r="E312" s="76"/>
      <c r="F312" s="75"/>
      <c r="G312" s="62"/>
      <c r="H312" s="63" t="str">
        <f t="shared" si="1"/>
        <v/>
      </c>
      <c r="I312" s="55"/>
    </row>
    <row r="313">
      <c r="A313" s="67"/>
      <c r="B313" s="73"/>
      <c r="C313" s="74"/>
      <c r="D313" s="75"/>
      <c r="E313" s="76"/>
      <c r="F313" s="75"/>
      <c r="G313" s="62"/>
      <c r="H313" s="63" t="str">
        <f t="shared" si="1"/>
        <v/>
      </c>
      <c r="I313" s="55"/>
    </row>
    <row r="314">
      <c r="A314" s="67"/>
      <c r="B314" s="73"/>
      <c r="C314" s="74"/>
      <c r="D314" s="75"/>
      <c r="E314" s="76"/>
      <c r="F314" s="75"/>
      <c r="G314" s="62"/>
      <c r="H314" s="63" t="str">
        <f t="shared" si="1"/>
        <v/>
      </c>
      <c r="I314" s="55"/>
    </row>
    <row r="315">
      <c r="A315" s="67"/>
      <c r="B315" s="73"/>
      <c r="C315" s="74"/>
      <c r="D315" s="75"/>
      <c r="E315" s="76"/>
      <c r="F315" s="75"/>
      <c r="G315" s="62"/>
      <c r="H315" s="63" t="str">
        <f t="shared" si="1"/>
        <v/>
      </c>
      <c r="I315" s="55"/>
    </row>
    <row r="316">
      <c r="A316" s="67"/>
      <c r="B316" s="73"/>
      <c r="C316" s="74"/>
      <c r="D316" s="75"/>
      <c r="E316" s="76"/>
      <c r="F316" s="75"/>
      <c r="G316" s="62"/>
      <c r="H316" s="63" t="str">
        <f t="shared" si="1"/>
        <v/>
      </c>
      <c r="I316" s="55"/>
    </row>
    <row r="317">
      <c r="A317" s="67"/>
      <c r="B317" s="73"/>
      <c r="C317" s="74"/>
      <c r="D317" s="75"/>
      <c r="E317" s="76"/>
      <c r="F317" s="75"/>
      <c r="G317" s="62"/>
      <c r="H317" s="63" t="str">
        <f t="shared" si="1"/>
        <v/>
      </c>
      <c r="I317" s="55"/>
    </row>
    <row r="318">
      <c r="A318" s="67"/>
      <c r="B318" s="73"/>
      <c r="C318" s="74"/>
      <c r="D318" s="75"/>
      <c r="E318" s="76"/>
      <c r="F318" s="75"/>
      <c r="G318" s="62"/>
      <c r="H318" s="63" t="str">
        <f t="shared" si="1"/>
        <v/>
      </c>
      <c r="I318" s="55"/>
    </row>
    <row r="319">
      <c r="A319" s="67"/>
      <c r="B319" s="73"/>
      <c r="C319" s="74"/>
      <c r="D319" s="75"/>
      <c r="E319" s="76"/>
      <c r="F319" s="75"/>
      <c r="G319" s="62"/>
      <c r="H319" s="63" t="str">
        <f t="shared" si="1"/>
        <v/>
      </c>
      <c r="I319" s="55"/>
    </row>
    <row r="320">
      <c r="A320" s="67"/>
      <c r="B320" s="73"/>
      <c r="C320" s="74"/>
      <c r="D320" s="75"/>
      <c r="E320" s="76"/>
      <c r="F320" s="75"/>
      <c r="G320" s="62"/>
      <c r="H320" s="63" t="str">
        <f t="shared" si="1"/>
        <v/>
      </c>
      <c r="I320" s="55"/>
    </row>
    <row r="321">
      <c r="A321" s="67"/>
      <c r="B321" s="73"/>
      <c r="C321" s="74"/>
      <c r="D321" s="75"/>
      <c r="E321" s="76"/>
      <c r="F321" s="75"/>
      <c r="G321" s="62"/>
      <c r="H321" s="63" t="str">
        <f t="shared" si="1"/>
        <v/>
      </c>
      <c r="I321" s="55"/>
    </row>
    <row r="322">
      <c r="A322" s="67"/>
      <c r="B322" s="73"/>
      <c r="C322" s="74"/>
      <c r="D322" s="75"/>
      <c r="E322" s="76"/>
      <c r="F322" s="75"/>
      <c r="G322" s="62"/>
      <c r="H322" s="63" t="str">
        <f t="shared" si="1"/>
        <v/>
      </c>
      <c r="I322" s="55"/>
    </row>
    <row r="323">
      <c r="A323" s="67"/>
      <c r="B323" s="73"/>
      <c r="C323" s="74"/>
      <c r="D323" s="75"/>
      <c r="E323" s="76"/>
      <c r="F323" s="75"/>
      <c r="G323" s="62"/>
      <c r="H323" s="63" t="str">
        <f t="shared" si="1"/>
        <v/>
      </c>
      <c r="I323" s="55"/>
    </row>
    <row r="324">
      <c r="A324" s="67"/>
      <c r="B324" s="73"/>
      <c r="C324" s="74"/>
      <c r="D324" s="75"/>
      <c r="E324" s="76"/>
      <c r="F324" s="75"/>
      <c r="G324" s="62"/>
      <c r="H324" s="63" t="str">
        <f t="shared" si="1"/>
        <v/>
      </c>
      <c r="I324" s="55"/>
    </row>
    <row r="325">
      <c r="A325" s="67"/>
      <c r="B325" s="73"/>
      <c r="C325" s="74"/>
      <c r="D325" s="75"/>
      <c r="E325" s="76"/>
      <c r="F325" s="75"/>
      <c r="G325" s="62"/>
      <c r="H325" s="63" t="str">
        <f t="shared" si="1"/>
        <v/>
      </c>
      <c r="I325" s="55"/>
    </row>
    <row r="326">
      <c r="A326" s="67"/>
      <c r="B326" s="73"/>
      <c r="C326" s="74"/>
      <c r="D326" s="75"/>
      <c r="E326" s="76"/>
      <c r="F326" s="75"/>
      <c r="G326" s="62"/>
      <c r="H326" s="63" t="str">
        <f t="shared" si="1"/>
        <v/>
      </c>
      <c r="I326" s="55"/>
    </row>
    <row r="327">
      <c r="A327" s="67"/>
      <c r="B327" s="73"/>
      <c r="C327" s="74"/>
      <c r="D327" s="75"/>
      <c r="E327" s="76"/>
      <c r="F327" s="75"/>
      <c r="G327" s="62"/>
      <c r="H327" s="63" t="str">
        <f t="shared" si="1"/>
        <v/>
      </c>
      <c r="I327" s="55"/>
    </row>
    <row r="328">
      <c r="A328" s="67"/>
      <c r="B328" s="73"/>
      <c r="C328" s="74"/>
      <c r="D328" s="75"/>
      <c r="E328" s="76"/>
      <c r="F328" s="75"/>
      <c r="G328" s="62"/>
      <c r="H328" s="63" t="str">
        <f t="shared" si="1"/>
        <v/>
      </c>
      <c r="I328" s="55"/>
    </row>
    <row r="329">
      <c r="A329" s="67"/>
      <c r="B329" s="73"/>
      <c r="C329" s="74"/>
      <c r="D329" s="75"/>
      <c r="E329" s="76"/>
      <c r="F329" s="75"/>
      <c r="G329" s="62"/>
      <c r="H329" s="63" t="str">
        <f t="shared" si="1"/>
        <v/>
      </c>
      <c r="I329" s="55"/>
    </row>
    <row r="330">
      <c r="A330" s="67"/>
      <c r="B330" s="73"/>
      <c r="C330" s="74"/>
      <c r="D330" s="75"/>
      <c r="E330" s="76"/>
      <c r="F330" s="75"/>
      <c r="G330" s="62"/>
      <c r="H330" s="63" t="str">
        <f t="shared" si="1"/>
        <v/>
      </c>
      <c r="I330" s="55"/>
    </row>
    <row r="331">
      <c r="A331" s="67"/>
      <c r="B331" s="73"/>
      <c r="C331" s="74"/>
      <c r="D331" s="75"/>
      <c r="E331" s="76"/>
      <c r="F331" s="75"/>
      <c r="G331" s="62"/>
      <c r="H331" s="63" t="str">
        <f t="shared" si="1"/>
        <v/>
      </c>
      <c r="I331" s="55"/>
    </row>
    <row r="332">
      <c r="A332" s="67"/>
      <c r="B332" s="73"/>
      <c r="C332" s="74"/>
      <c r="D332" s="75"/>
      <c r="E332" s="76"/>
      <c r="F332" s="75"/>
      <c r="G332" s="62"/>
      <c r="H332" s="63" t="str">
        <f t="shared" si="1"/>
        <v/>
      </c>
      <c r="I332" s="55"/>
    </row>
    <row r="333">
      <c r="A333" s="67"/>
      <c r="B333" s="73"/>
      <c r="C333" s="74"/>
      <c r="D333" s="75"/>
      <c r="E333" s="76"/>
      <c r="F333" s="75"/>
      <c r="G333" s="62"/>
      <c r="H333" s="63" t="str">
        <f t="shared" si="1"/>
        <v/>
      </c>
      <c r="I333" s="55"/>
    </row>
    <row r="334">
      <c r="A334" s="67"/>
      <c r="B334" s="73"/>
      <c r="C334" s="74"/>
      <c r="D334" s="75"/>
      <c r="E334" s="76"/>
      <c r="F334" s="75"/>
      <c r="G334" s="62"/>
      <c r="H334" s="63" t="str">
        <f t="shared" si="1"/>
        <v/>
      </c>
      <c r="I334" s="55"/>
    </row>
    <row r="335">
      <c r="A335" s="67"/>
      <c r="B335" s="73"/>
      <c r="C335" s="74"/>
      <c r="D335" s="75"/>
      <c r="E335" s="76"/>
      <c r="F335" s="75"/>
      <c r="G335" s="62"/>
      <c r="H335" s="63" t="str">
        <f t="shared" si="1"/>
        <v/>
      </c>
      <c r="I335" s="55"/>
    </row>
    <row r="336">
      <c r="A336" s="67"/>
      <c r="B336" s="73"/>
      <c r="C336" s="74"/>
      <c r="D336" s="75"/>
      <c r="E336" s="76"/>
      <c r="F336" s="75"/>
      <c r="G336" s="62"/>
      <c r="H336" s="63" t="str">
        <f t="shared" si="1"/>
        <v/>
      </c>
      <c r="I336" s="55"/>
    </row>
    <row r="337">
      <c r="A337" s="67"/>
      <c r="B337" s="73"/>
      <c r="C337" s="74"/>
      <c r="D337" s="75"/>
      <c r="E337" s="76"/>
      <c r="F337" s="75"/>
      <c r="G337" s="62"/>
      <c r="H337" s="63" t="str">
        <f t="shared" si="1"/>
        <v/>
      </c>
      <c r="I337" s="55"/>
    </row>
    <row r="338">
      <c r="A338" s="67"/>
      <c r="B338" s="73"/>
      <c r="C338" s="74"/>
      <c r="D338" s="75"/>
      <c r="E338" s="76"/>
      <c r="F338" s="75"/>
      <c r="G338" s="62"/>
      <c r="H338" s="63" t="str">
        <f t="shared" si="1"/>
        <v/>
      </c>
      <c r="I338" s="55"/>
    </row>
    <row r="339">
      <c r="A339" s="67"/>
      <c r="B339" s="73"/>
      <c r="C339" s="74"/>
      <c r="D339" s="75"/>
      <c r="E339" s="76"/>
      <c r="F339" s="75"/>
      <c r="G339" s="62"/>
      <c r="H339" s="63" t="str">
        <f t="shared" si="1"/>
        <v/>
      </c>
      <c r="I339" s="55"/>
    </row>
    <row r="340">
      <c r="A340" s="67"/>
      <c r="B340" s="73"/>
      <c r="C340" s="74"/>
      <c r="D340" s="75"/>
      <c r="E340" s="76"/>
      <c r="F340" s="75"/>
      <c r="G340" s="62"/>
      <c r="H340" s="63" t="str">
        <f t="shared" si="1"/>
        <v/>
      </c>
      <c r="I340" s="55"/>
    </row>
    <row r="341">
      <c r="A341" s="67"/>
      <c r="B341" s="73"/>
      <c r="C341" s="74"/>
      <c r="D341" s="75"/>
      <c r="E341" s="76"/>
      <c r="F341" s="75"/>
      <c r="G341" s="62"/>
      <c r="H341" s="63" t="str">
        <f t="shared" si="1"/>
        <v/>
      </c>
      <c r="I341" s="55"/>
    </row>
    <row r="342">
      <c r="A342" s="67"/>
      <c r="B342" s="73"/>
      <c r="C342" s="74"/>
      <c r="D342" s="75"/>
      <c r="E342" s="76"/>
      <c r="F342" s="75"/>
      <c r="G342" s="62"/>
      <c r="H342" s="63" t="str">
        <f t="shared" si="1"/>
        <v/>
      </c>
      <c r="I342" s="55"/>
    </row>
    <row r="343">
      <c r="A343" s="67"/>
      <c r="B343" s="73"/>
      <c r="C343" s="74"/>
      <c r="D343" s="75"/>
      <c r="E343" s="76"/>
      <c r="F343" s="75"/>
      <c r="G343" s="62"/>
      <c r="H343" s="63" t="str">
        <f t="shared" si="1"/>
        <v/>
      </c>
      <c r="I343" s="55"/>
    </row>
    <row r="344">
      <c r="A344" s="67"/>
      <c r="B344" s="73"/>
      <c r="C344" s="74"/>
      <c r="D344" s="75"/>
      <c r="E344" s="76"/>
      <c r="F344" s="75"/>
      <c r="G344" s="62"/>
      <c r="H344" s="63" t="str">
        <f t="shared" si="1"/>
        <v/>
      </c>
      <c r="I344" s="55"/>
    </row>
    <row r="345">
      <c r="A345" s="67"/>
      <c r="B345" s="73"/>
      <c r="C345" s="74"/>
      <c r="D345" s="75"/>
      <c r="E345" s="76"/>
      <c r="F345" s="75"/>
      <c r="G345" s="62"/>
      <c r="H345" s="63" t="str">
        <f t="shared" si="1"/>
        <v/>
      </c>
      <c r="I345" s="55"/>
    </row>
    <row r="346">
      <c r="A346" s="67"/>
      <c r="B346" s="73"/>
      <c r="C346" s="74"/>
      <c r="D346" s="75"/>
      <c r="E346" s="76"/>
      <c r="F346" s="75"/>
      <c r="G346" s="62"/>
      <c r="H346" s="63" t="str">
        <f t="shared" si="1"/>
        <v/>
      </c>
      <c r="I346" s="55"/>
    </row>
    <row r="347">
      <c r="A347" s="67"/>
      <c r="B347" s="73"/>
      <c r="C347" s="74"/>
      <c r="D347" s="75"/>
      <c r="E347" s="76"/>
      <c r="F347" s="75"/>
      <c r="G347" s="62"/>
      <c r="H347" s="63" t="str">
        <f t="shared" si="1"/>
        <v/>
      </c>
      <c r="I347" s="55"/>
    </row>
    <row r="348">
      <c r="A348" s="67"/>
      <c r="B348" s="73"/>
      <c r="C348" s="74"/>
      <c r="D348" s="75"/>
      <c r="E348" s="76"/>
      <c r="F348" s="75"/>
      <c r="G348" s="62"/>
      <c r="H348" s="63" t="str">
        <f t="shared" si="1"/>
        <v/>
      </c>
      <c r="I348" s="55"/>
    </row>
    <row r="349">
      <c r="A349" s="67"/>
      <c r="B349" s="73"/>
      <c r="C349" s="74"/>
      <c r="D349" s="75"/>
      <c r="E349" s="76"/>
      <c r="F349" s="75"/>
      <c r="G349" s="62"/>
      <c r="H349" s="63" t="str">
        <f t="shared" si="1"/>
        <v/>
      </c>
      <c r="I349" s="55"/>
    </row>
    <row r="350">
      <c r="A350" s="67"/>
      <c r="B350" s="73"/>
      <c r="C350" s="74"/>
      <c r="D350" s="75"/>
      <c r="E350" s="76"/>
      <c r="F350" s="75"/>
      <c r="G350" s="62"/>
      <c r="H350" s="63" t="str">
        <f t="shared" si="1"/>
        <v/>
      </c>
      <c r="I350" s="55"/>
    </row>
    <row r="351">
      <c r="A351" s="67"/>
      <c r="B351" s="73"/>
      <c r="C351" s="74"/>
      <c r="D351" s="75"/>
      <c r="E351" s="76"/>
      <c r="F351" s="75"/>
      <c r="G351" s="62"/>
      <c r="H351" s="63" t="str">
        <f t="shared" si="1"/>
        <v/>
      </c>
      <c r="I351" s="55"/>
    </row>
    <row r="352">
      <c r="A352" s="67"/>
      <c r="B352" s="73"/>
      <c r="C352" s="74"/>
      <c r="D352" s="75"/>
      <c r="E352" s="76"/>
      <c r="F352" s="75"/>
      <c r="G352" s="62"/>
      <c r="H352" s="63" t="str">
        <f t="shared" si="1"/>
        <v/>
      </c>
      <c r="I352" s="55"/>
    </row>
    <row r="353">
      <c r="A353" s="67"/>
      <c r="B353" s="73"/>
      <c r="C353" s="74"/>
      <c r="D353" s="75"/>
      <c r="E353" s="76"/>
      <c r="F353" s="75"/>
      <c r="G353" s="62"/>
      <c r="H353" s="63" t="str">
        <f t="shared" si="1"/>
        <v/>
      </c>
      <c r="I353" s="55"/>
    </row>
    <row r="354">
      <c r="A354" s="67"/>
      <c r="B354" s="73"/>
      <c r="C354" s="74"/>
      <c r="D354" s="75"/>
      <c r="E354" s="76"/>
      <c r="F354" s="75"/>
      <c r="G354" s="62"/>
      <c r="H354" s="63" t="str">
        <f t="shared" si="1"/>
        <v/>
      </c>
      <c r="I354" s="55"/>
    </row>
    <row r="355">
      <c r="A355" s="67"/>
      <c r="B355" s="73"/>
      <c r="C355" s="74"/>
      <c r="D355" s="75"/>
      <c r="E355" s="76"/>
      <c r="F355" s="75"/>
      <c r="G355" s="62"/>
      <c r="H355" s="63" t="str">
        <f t="shared" si="1"/>
        <v/>
      </c>
      <c r="I355" s="55"/>
    </row>
    <row r="356">
      <c r="A356" s="67"/>
      <c r="B356" s="73"/>
      <c r="C356" s="74"/>
      <c r="D356" s="75"/>
      <c r="E356" s="76"/>
      <c r="F356" s="75"/>
      <c r="G356" s="62"/>
      <c r="H356" s="63" t="str">
        <f t="shared" si="1"/>
        <v/>
      </c>
      <c r="I356" s="55"/>
    </row>
    <row r="357">
      <c r="A357" s="67"/>
      <c r="B357" s="73"/>
      <c r="C357" s="74"/>
      <c r="D357" s="75"/>
      <c r="E357" s="76"/>
      <c r="F357" s="75"/>
      <c r="G357" s="62"/>
      <c r="H357" s="63" t="str">
        <f t="shared" si="1"/>
        <v/>
      </c>
      <c r="I357" s="55"/>
    </row>
    <row r="358">
      <c r="A358" s="67"/>
      <c r="B358" s="73"/>
      <c r="C358" s="74"/>
      <c r="D358" s="75"/>
      <c r="E358" s="76"/>
      <c r="F358" s="75"/>
      <c r="G358" s="62"/>
      <c r="H358" s="63" t="str">
        <f t="shared" si="1"/>
        <v/>
      </c>
      <c r="I358" s="55"/>
    </row>
    <row r="359">
      <c r="A359" s="67"/>
      <c r="B359" s="73"/>
      <c r="C359" s="74"/>
      <c r="D359" s="75"/>
      <c r="E359" s="76"/>
      <c r="F359" s="75"/>
      <c r="G359" s="62"/>
      <c r="H359" s="63" t="str">
        <f t="shared" si="1"/>
        <v/>
      </c>
      <c r="I359" s="55"/>
    </row>
    <row r="360">
      <c r="A360" s="67"/>
      <c r="B360" s="73"/>
      <c r="C360" s="74"/>
      <c r="D360" s="75"/>
      <c r="E360" s="76"/>
      <c r="F360" s="75"/>
      <c r="G360" s="62"/>
      <c r="H360" s="63" t="str">
        <f t="shared" si="1"/>
        <v/>
      </c>
      <c r="I360" s="55"/>
    </row>
    <row r="361">
      <c r="A361" s="67"/>
      <c r="B361" s="73"/>
      <c r="C361" s="74"/>
      <c r="D361" s="75"/>
      <c r="E361" s="76"/>
      <c r="F361" s="75"/>
      <c r="G361" s="62"/>
      <c r="H361" s="63" t="str">
        <f t="shared" si="1"/>
        <v/>
      </c>
      <c r="I361" s="55"/>
    </row>
    <row r="362">
      <c r="A362" s="67"/>
      <c r="B362" s="73"/>
      <c r="C362" s="74"/>
      <c r="D362" s="75"/>
      <c r="E362" s="76"/>
      <c r="F362" s="75"/>
      <c r="G362" s="62"/>
      <c r="H362" s="63" t="str">
        <f t="shared" si="1"/>
        <v/>
      </c>
      <c r="I362" s="55"/>
    </row>
    <row r="363">
      <c r="A363" s="67"/>
      <c r="B363" s="73"/>
      <c r="C363" s="74"/>
      <c r="D363" s="75"/>
      <c r="E363" s="76"/>
      <c r="F363" s="75"/>
      <c r="G363" s="62"/>
      <c r="H363" s="63" t="str">
        <f t="shared" si="1"/>
        <v/>
      </c>
      <c r="I363" s="55"/>
    </row>
    <row r="364">
      <c r="A364" s="67"/>
      <c r="B364" s="73"/>
      <c r="C364" s="74"/>
      <c r="D364" s="75"/>
      <c r="E364" s="76"/>
      <c r="F364" s="75"/>
      <c r="G364" s="62"/>
      <c r="H364" s="63" t="str">
        <f t="shared" si="1"/>
        <v/>
      </c>
      <c r="I364" s="55"/>
    </row>
    <row r="365">
      <c r="A365" s="67"/>
      <c r="B365" s="73"/>
      <c r="C365" s="74"/>
      <c r="D365" s="75"/>
      <c r="E365" s="76"/>
      <c r="F365" s="75"/>
      <c r="G365" s="62"/>
      <c r="H365" s="63" t="str">
        <f t="shared" si="1"/>
        <v/>
      </c>
      <c r="I365" s="55"/>
    </row>
    <row r="366">
      <c r="A366" s="67"/>
      <c r="B366" s="73"/>
      <c r="C366" s="74"/>
      <c r="D366" s="75"/>
      <c r="E366" s="76"/>
      <c r="F366" s="75"/>
      <c r="G366" s="62"/>
      <c r="H366" s="63" t="str">
        <f t="shared" si="1"/>
        <v/>
      </c>
      <c r="I366" s="55"/>
    </row>
    <row r="367">
      <c r="A367" s="67"/>
      <c r="B367" s="73"/>
      <c r="C367" s="74"/>
      <c r="D367" s="75"/>
      <c r="E367" s="76"/>
      <c r="F367" s="75"/>
      <c r="G367" s="62"/>
      <c r="H367" s="63" t="str">
        <f t="shared" si="1"/>
        <v/>
      </c>
      <c r="I367" s="55"/>
    </row>
    <row r="368">
      <c r="A368" s="67"/>
      <c r="B368" s="73"/>
      <c r="C368" s="74"/>
      <c r="D368" s="75"/>
      <c r="E368" s="76"/>
      <c r="F368" s="75"/>
      <c r="G368" s="62"/>
      <c r="H368" s="63" t="str">
        <f t="shared" si="1"/>
        <v/>
      </c>
      <c r="I368" s="55"/>
    </row>
    <row r="369">
      <c r="A369" s="67"/>
      <c r="B369" s="73"/>
      <c r="C369" s="74"/>
      <c r="D369" s="75"/>
      <c r="E369" s="76"/>
      <c r="F369" s="75"/>
      <c r="G369" s="62"/>
      <c r="H369" s="63" t="str">
        <f t="shared" si="1"/>
        <v/>
      </c>
      <c r="I369" s="55"/>
    </row>
    <row r="370">
      <c r="A370" s="67"/>
      <c r="B370" s="73"/>
      <c r="C370" s="74"/>
      <c r="D370" s="75"/>
      <c r="E370" s="76"/>
      <c r="F370" s="75"/>
      <c r="G370" s="62"/>
      <c r="H370" s="63" t="str">
        <f t="shared" si="1"/>
        <v/>
      </c>
      <c r="I370" s="55"/>
    </row>
    <row r="371">
      <c r="A371" s="67"/>
      <c r="B371" s="73"/>
      <c r="C371" s="74"/>
      <c r="D371" s="75"/>
      <c r="E371" s="76"/>
      <c r="F371" s="75"/>
      <c r="G371" s="62"/>
      <c r="H371" s="63" t="str">
        <f t="shared" si="1"/>
        <v/>
      </c>
      <c r="I371" s="55"/>
    </row>
    <row r="372">
      <c r="A372" s="67"/>
      <c r="B372" s="73"/>
      <c r="C372" s="74"/>
      <c r="D372" s="75"/>
      <c r="E372" s="76"/>
      <c r="F372" s="75"/>
      <c r="G372" s="62"/>
      <c r="H372" s="63" t="str">
        <f t="shared" si="1"/>
        <v/>
      </c>
      <c r="I372" s="55"/>
    </row>
    <row r="373">
      <c r="A373" s="67"/>
      <c r="B373" s="73"/>
      <c r="C373" s="74"/>
      <c r="D373" s="75"/>
      <c r="E373" s="76"/>
      <c r="F373" s="75"/>
      <c r="G373" s="62"/>
      <c r="H373" s="63" t="str">
        <f t="shared" si="1"/>
        <v/>
      </c>
      <c r="I373" s="55"/>
    </row>
    <row r="374">
      <c r="A374" s="67"/>
      <c r="B374" s="73"/>
      <c r="C374" s="74"/>
      <c r="D374" s="75"/>
      <c r="E374" s="76"/>
      <c r="F374" s="75"/>
      <c r="G374" s="62"/>
      <c r="H374" s="63" t="str">
        <f t="shared" si="1"/>
        <v/>
      </c>
      <c r="I374" s="55"/>
    </row>
    <row r="375">
      <c r="A375" s="67"/>
      <c r="B375" s="73"/>
      <c r="C375" s="74"/>
      <c r="D375" s="75"/>
      <c r="E375" s="76"/>
      <c r="F375" s="75"/>
      <c r="G375" s="62"/>
      <c r="H375" s="63" t="str">
        <f t="shared" si="1"/>
        <v/>
      </c>
      <c r="I375" s="55"/>
    </row>
    <row r="376">
      <c r="A376" s="67"/>
      <c r="B376" s="73"/>
      <c r="C376" s="74"/>
      <c r="D376" s="75"/>
      <c r="E376" s="76"/>
      <c r="F376" s="75"/>
      <c r="G376" s="62"/>
      <c r="H376" s="63" t="str">
        <f t="shared" si="1"/>
        <v/>
      </c>
      <c r="I376" s="55"/>
    </row>
    <row r="377">
      <c r="A377" s="67"/>
      <c r="B377" s="73"/>
      <c r="C377" s="74"/>
      <c r="D377" s="75"/>
      <c r="E377" s="76"/>
      <c r="F377" s="75"/>
      <c r="G377" s="62"/>
      <c r="H377" s="63" t="str">
        <f t="shared" si="1"/>
        <v/>
      </c>
      <c r="I377" s="55"/>
    </row>
    <row r="378">
      <c r="A378" s="67"/>
      <c r="B378" s="73"/>
      <c r="C378" s="74"/>
      <c r="D378" s="75"/>
      <c r="E378" s="76"/>
      <c r="F378" s="75"/>
      <c r="G378" s="62"/>
      <c r="H378" s="63" t="str">
        <f t="shared" si="1"/>
        <v/>
      </c>
      <c r="I378" s="55"/>
    </row>
    <row r="379">
      <c r="A379" s="67"/>
      <c r="B379" s="73"/>
      <c r="C379" s="74"/>
      <c r="D379" s="75"/>
      <c r="E379" s="76"/>
      <c r="F379" s="75"/>
      <c r="G379" s="62"/>
      <c r="H379" s="63" t="str">
        <f t="shared" si="1"/>
        <v/>
      </c>
      <c r="I379" s="55"/>
    </row>
    <row r="380">
      <c r="A380" s="67"/>
      <c r="B380" s="73"/>
      <c r="C380" s="74"/>
      <c r="D380" s="75"/>
      <c r="E380" s="76"/>
      <c r="F380" s="75"/>
      <c r="G380" s="62"/>
      <c r="H380" s="63" t="str">
        <f t="shared" si="1"/>
        <v/>
      </c>
      <c r="I380" s="55"/>
    </row>
    <row r="381">
      <c r="A381" s="67"/>
      <c r="B381" s="73"/>
      <c r="C381" s="74"/>
      <c r="D381" s="75"/>
      <c r="E381" s="76"/>
      <c r="F381" s="75"/>
      <c r="G381" s="62"/>
      <c r="H381" s="63" t="str">
        <f t="shared" si="1"/>
        <v/>
      </c>
      <c r="I381" s="55"/>
    </row>
    <row r="382">
      <c r="A382" s="67"/>
      <c r="B382" s="73"/>
      <c r="C382" s="74"/>
      <c r="D382" s="75"/>
      <c r="E382" s="76"/>
      <c r="F382" s="75"/>
      <c r="G382" s="62"/>
      <c r="H382" s="63" t="str">
        <f t="shared" si="1"/>
        <v/>
      </c>
      <c r="I382" s="55"/>
    </row>
    <row r="383">
      <c r="A383" s="67"/>
      <c r="B383" s="73"/>
      <c r="C383" s="74"/>
      <c r="D383" s="75"/>
      <c r="E383" s="76"/>
      <c r="F383" s="75"/>
      <c r="G383" s="62"/>
      <c r="H383" s="63" t="str">
        <f t="shared" si="1"/>
        <v/>
      </c>
      <c r="I383" s="55"/>
    </row>
    <row r="384">
      <c r="A384" s="67"/>
      <c r="B384" s="73"/>
      <c r="C384" s="74"/>
      <c r="D384" s="75"/>
      <c r="E384" s="76"/>
      <c r="F384" s="75"/>
      <c r="G384" s="62"/>
      <c r="H384" s="63" t="str">
        <f t="shared" si="1"/>
        <v/>
      </c>
      <c r="I384" s="55"/>
    </row>
    <row r="385">
      <c r="A385" s="67"/>
      <c r="B385" s="73"/>
      <c r="C385" s="74"/>
      <c r="D385" s="75"/>
      <c r="E385" s="76"/>
      <c r="F385" s="75"/>
      <c r="G385" s="62"/>
      <c r="H385" s="63" t="str">
        <f t="shared" si="1"/>
        <v/>
      </c>
      <c r="I385" s="55"/>
    </row>
    <row r="386">
      <c r="A386" s="67"/>
      <c r="B386" s="73"/>
      <c r="C386" s="74"/>
      <c r="D386" s="75"/>
      <c r="E386" s="76"/>
      <c r="F386" s="75"/>
      <c r="G386" s="62"/>
      <c r="H386" s="63" t="str">
        <f t="shared" si="1"/>
        <v/>
      </c>
      <c r="I386" s="55"/>
    </row>
    <row r="387">
      <c r="A387" s="67"/>
      <c r="B387" s="73"/>
      <c r="C387" s="74"/>
      <c r="D387" s="75"/>
      <c r="E387" s="76"/>
      <c r="F387" s="75"/>
      <c r="G387" s="62"/>
      <c r="H387" s="63" t="str">
        <f t="shared" si="1"/>
        <v/>
      </c>
      <c r="I387" s="55"/>
    </row>
    <row r="388">
      <c r="A388" s="67"/>
      <c r="B388" s="73"/>
      <c r="C388" s="74"/>
      <c r="D388" s="75"/>
      <c r="E388" s="76"/>
      <c r="F388" s="75"/>
      <c r="G388" s="62"/>
      <c r="H388" s="63" t="str">
        <f t="shared" si="1"/>
        <v/>
      </c>
      <c r="I388" s="55"/>
    </row>
    <row r="389">
      <c r="A389" s="67"/>
      <c r="B389" s="73"/>
      <c r="C389" s="74"/>
      <c r="D389" s="75"/>
      <c r="E389" s="76"/>
      <c r="F389" s="75"/>
      <c r="G389" s="62"/>
      <c r="H389" s="63" t="str">
        <f t="shared" si="1"/>
        <v/>
      </c>
      <c r="I389" s="55"/>
    </row>
    <row r="390">
      <c r="A390" s="67"/>
      <c r="B390" s="73"/>
      <c r="C390" s="74"/>
      <c r="D390" s="75"/>
      <c r="E390" s="76"/>
      <c r="F390" s="75"/>
      <c r="G390" s="62"/>
      <c r="H390" s="63" t="str">
        <f t="shared" si="1"/>
        <v/>
      </c>
      <c r="I390" s="55"/>
    </row>
    <row r="391">
      <c r="A391" s="67"/>
      <c r="B391" s="73"/>
      <c r="C391" s="74"/>
      <c r="D391" s="75"/>
      <c r="E391" s="76"/>
      <c r="F391" s="75"/>
      <c r="G391" s="62"/>
      <c r="H391" s="63" t="str">
        <f t="shared" si="1"/>
        <v/>
      </c>
      <c r="I391" s="55"/>
    </row>
    <row r="392">
      <c r="A392" s="67"/>
      <c r="B392" s="73"/>
      <c r="C392" s="74"/>
      <c r="D392" s="75"/>
      <c r="E392" s="76"/>
      <c r="F392" s="75"/>
      <c r="G392" s="62"/>
      <c r="H392" s="63" t="str">
        <f t="shared" si="1"/>
        <v/>
      </c>
      <c r="I392" s="55"/>
    </row>
    <row r="393">
      <c r="A393" s="67"/>
      <c r="B393" s="73"/>
      <c r="C393" s="74"/>
      <c r="D393" s="75"/>
      <c r="E393" s="76"/>
      <c r="F393" s="75"/>
      <c r="G393" s="62"/>
      <c r="H393" s="63" t="str">
        <f t="shared" si="1"/>
        <v/>
      </c>
      <c r="I393" s="55"/>
    </row>
    <row r="394">
      <c r="A394" s="67"/>
      <c r="B394" s="73"/>
      <c r="C394" s="74"/>
      <c r="D394" s="75"/>
      <c r="E394" s="76"/>
      <c r="F394" s="75"/>
      <c r="G394" s="62"/>
      <c r="H394" s="63" t="str">
        <f t="shared" si="1"/>
        <v/>
      </c>
      <c r="I394" s="55"/>
    </row>
    <row r="395">
      <c r="A395" s="67"/>
      <c r="B395" s="73"/>
      <c r="C395" s="74"/>
      <c r="D395" s="75"/>
      <c r="E395" s="76"/>
      <c r="F395" s="75"/>
      <c r="G395" s="62"/>
      <c r="H395" s="63" t="str">
        <f t="shared" si="1"/>
        <v/>
      </c>
      <c r="I395" s="55"/>
    </row>
    <row r="396">
      <c r="A396" s="67"/>
      <c r="B396" s="73"/>
      <c r="C396" s="74"/>
      <c r="D396" s="75"/>
      <c r="E396" s="76"/>
      <c r="F396" s="75"/>
      <c r="G396" s="62"/>
      <c r="H396" s="63" t="str">
        <f t="shared" si="1"/>
        <v/>
      </c>
      <c r="I396" s="55"/>
    </row>
    <row r="397">
      <c r="A397" s="67"/>
      <c r="B397" s="73"/>
      <c r="C397" s="74"/>
      <c r="D397" s="75"/>
      <c r="E397" s="76"/>
      <c r="F397" s="75"/>
      <c r="G397" s="62"/>
      <c r="H397" s="63" t="str">
        <f t="shared" si="1"/>
        <v/>
      </c>
      <c r="I397" s="55"/>
    </row>
    <row r="398">
      <c r="A398" s="67"/>
      <c r="B398" s="73"/>
      <c r="C398" s="74"/>
      <c r="D398" s="75"/>
      <c r="E398" s="76"/>
      <c r="F398" s="75"/>
      <c r="G398" s="62"/>
      <c r="H398" s="63" t="str">
        <f t="shared" si="1"/>
        <v/>
      </c>
      <c r="I398" s="55"/>
    </row>
    <row r="399">
      <c r="A399" s="67"/>
      <c r="B399" s="73"/>
      <c r="C399" s="74"/>
      <c r="D399" s="75"/>
      <c r="E399" s="76"/>
      <c r="F399" s="75"/>
      <c r="G399" s="62"/>
      <c r="H399" s="63" t="str">
        <f t="shared" si="1"/>
        <v/>
      </c>
      <c r="I399" s="55"/>
    </row>
    <row r="400">
      <c r="A400" s="67"/>
      <c r="B400" s="73"/>
      <c r="C400" s="74"/>
      <c r="D400" s="75"/>
      <c r="E400" s="76"/>
      <c r="F400" s="75"/>
      <c r="G400" s="62"/>
      <c r="H400" s="63" t="str">
        <f t="shared" si="1"/>
        <v/>
      </c>
      <c r="I400" s="55"/>
    </row>
    <row r="401">
      <c r="A401" s="67"/>
      <c r="B401" s="73"/>
      <c r="C401" s="74"/>
      <c r="D401" s="75"/>
      <c r="E401" s="76"/>
      <c r="F401" s="75"/>
      <c r="G401" s="62"/>
      <c r="H401" s="63" t="str">
        <f t="shared" si="1"/>
        <v/>
      </c>
      <c r="I401" s="55"/>
    </row>
    <row r="402">
      <c r="A402" s="67"/>
      <c r="B402" s="73"/>
      <c r="C402" s="74"/>
      <c r="D402" s="75"/>
      <c r="E402" s="76"/>
      <c r="F402" s="75"/>
      <c r="G402" s="62"/>
      <c r="H402" s="63" t="str">
        <f t="shared" si="1"/>
        <v/>
      </c>
      <c r="I402" s="55"/>
    </row>
    <row r="403">
      <c r="A403" s="67"/>
      <c r="B403" s="73"/>
      <c r="C403" s="74"/>
      <c r="D403" s="75"/>
      <c r="E403" s="76"/>
      <c r="F403" s="75"/>
      <c r="G403" s="62"/>
      <c r="H403" s="63" t="str">
        <f t="shared" si="1"/>
        <v/>
      </c>
      <c r="I403" s="55"/>
    </row>
    <row r="404">
      <c r="A404" s="67"/>
      <c r="B404" s="73"/>
      <c r="C404" s="74"/>
      <c r="D404" s="75"/>
      <c r="E404" s="76"/>
      <c r="F404" s="75"/>
      <c r="G404" s="62"/>
      <c r="H404" s="63" t="str">
        <f t="shared" si="1"/>
        <v/>
      </c>
      <c r="I404" s="55"/>
    </row>
    <row r="405">
      <c r="A405" s="67"/>
      <c r="B405" s="73"/>
      <c r="C405" s="74"/>
      <c r="D405" s="75"/>
      <c r="E405" s="76"/>
      <c r="F405" s="75"/>
      <c r="G405" s="62"/>
      <c r="H405" s="63" t="str">
        <f t="shared" si="1"/>
        <v/>
      </c>
      <c r="I405" s="55"/>
    </row>
    <row r="406">
      <c r="A406" s="67"/>
      <c r="B406" s="73"/>
      <c r="C406" s="74"/>
      <c r="D406" s="75"/>
      <c r="E406" s="76"/>
      <c r="F406" s="75"/>
      <c r="G406" s="62"/>
      <c r="H406" s="63" t="str">
        <f t="shared" si="1"/>
        <v/>
      </c>
      <c r="I406" s="55"/>
    </row>
    <row r="407">
      <c r="A407" s="67"/>
      <c r="B407" s="73"/>
      <c r="C407" s="74"/>
      <c r="D407" s="75"/>
      <c r="E407" s="76"/>
      <c r="F407" s="75"/>
      <c r="G407" s="62"/>
      <c r="H407" s="63" t="str">
        <f t="shared" si="1"/>
        <v/>
      </c>
      <c r="I407" s="55"/>
    </row>
    <row r="408">
      <c r="A408" s="67"/>
      <c r="B408" s="73"/>
      <c r="C408" s="74"/>
      <c r="D408" s="75"/>
      <c r="E408" s="76"/>
      <c r="F408" s="75"/>
      <c r="G408" s="62"/>
      <c r="H408" s="63" t="str">
        <f t="shared" si="1"/>
        <v/>
      </c>
      <c r="I408" s="55"/>
    </row>
    <row r="409">
      <c r="A409" s="67"/>
      <c r="B409" s="73"/>
      <c r="C409" s="74"/>
      <c r="D409" s="75"/>
      <c r="E409" s="76"/>
      <c r="F409" s="75"/>
      <c r="G409" s="62"/>
      <c r="H409" s="63" t="str">
        <f t="shared" si="1"/>
        <v/>
      </c>
      <c r="I409" s="55"/>
    </row>
    <row r="410">
      <c r="A410" s="67"/>
      <c r="B410" s="73"/>
      <c r="C410" s="74"/>
      <c r="D410" s="75"/>
      <c r="E410" s="76"/>
      <c r="F410" s="75"/>
      <c r="G410" s="62"/>
      <c r="H410" s="63" t="str">
        <f t="shared" si="1"/>
        <v/>
      </c>
      <c r="I410" s="55"/>
    </row>
    <row r="411">
      <c r="A411" s="67"/>
      <c r="B411" s="73"/>
      <c r="C411" s="74"/>
      <c r="D411" s="75"/>
      <c r="E411" s="76"/>
      <c r="F411" s="75"/>
      <c r="G411" s="62"/>
      <c r="H411" s="63" t="str">
        <f t="shared" si="1"/>
        <v/>
      </c>
      <c r="I411" s="55"/>
    </row>
    <row r="412">
      <c r="A412" s="67"/>
      <c r="B412" s="73"/>
      <c r="C412" s="74"/>
      <c r="D412" s="75"/>
      <c r="E412" s="76"/>
      <c r="F412" s="75"/>
      <c r="G412" s="62"/>
      <c r="H412" s="63" t="str">
        <f t="shared" si="1"/>
        <v/>
      </c>
      <c r="I412" s="55"/>
    </row>
    <row r="413">
      <c r="A413" s="67"/>
      <c r="B413" s="73"/>
      <c r="C413" s="74"/>
      <c r="D413" s="75"/>
      <c r="E413" s="76"/>
      <c r="F413" s="75"/>
      <c r="G413" s="62"/>
      <c r="H413" s="63" t="str">
        <f t="shared" si="1"/>
        <v/>
      </c>
      <c r="I413" s="55"/>
    </row>
    <row r="414">
      <c r="A414" s="67"/>
      <c r="B414" s="73"/>
      <c r="C414" s="74"/>
      <c r="D414" s="75"/>
      <c r="E414" s="76"/>
      <c r="F414" s="75"/>
      <c r="G414" s="62"/>
      <c r="H414" s="63" t="str">
        <f t="shared" si="1"/>
        <v/>
      </c>
      <c r="I414" s="55"/>
    </row>
    <row r="415">
      <c r="A415" s="67"/>
      <c r="B415" s="73"/>
      <c r="C415" s="74"/>
      <c r="D415" s="75"/>
      <c r="E415" s="76"/>
      <c r="F415" s="75"/>
      <c r="G415" s="62"/>
      <c r="H415" s="63" t="str">
        <f t="shared" si="1"/>
        <v/>
      </c>
      <c r="I415" s="55"/>
    </row>
    <row r="416">
      <c r="A416" s="67"/>
      <c r="B416" s="73"/>
      <c r="C416" s="74"/>
      <c r="D416" s="75"/>
      <c r="E416" s="76"/>
      <c r="F416" s="75"/>
      <c r="G416" s="62"/>
      <c r="H416" s="63" t="str">
        <f t="shared" si="1"/>
        <v/>
      </c>
      <c r="I416" s="55"/>
    </row>
    <row r="417">
      <c r="A417" s="67"/>
      <c r="B417" s="73"/>
      <c r="C417" s="74"/>
      <c r="D417" s="75"/>
      <c r="E417" s="76"/>
      <c r="F417" s="75"/>
      <c r="G417" s="62"/>
      <c r="H417" s="63" t="str">
        <f t="shared" si="1"/>
        <v/>
      </c>
      <c r="I417" s="55"/>
    </row>
    <row r="418">
      <c r="A418" s="67"/>
      <c r="B418" s="73"/>
      <c r="C418" s="74"/>
      <c r="D418" s="75"/>
      <c r="E418" s="76"/>
      <c r="F418" s="75"/>
      <c r="G418" s="62"/>
      <c r="H418" s="63" t="str">
        <f t="shared" si="1"/>
        <v/>
      </c>
      <c r="I418" s="55"/>
    </row>
    <row r="419">
      <c r="A419" s="67"/>
      <c r="B419" s="73"/>
      <c r="C419" s="74"/>
      <c r="D419" s="75"/>
      <c r="E419" s="76"/>
      <c r="F419" s="75"/>
      <c r="G419" s="62"/>
      <c r="H419" s="63" t="str">
        <f t="shared" si="1"/>
        <v/>
      </c>
      <c r="I419" s="55"/>
    </row>
    <row r="420">
      <c r="A420" s="67"/>
      <c r="B420" s="73"/>
      <c r="C420" s="74"/>
      <c r="D420" s="75"/>
      <c r="E420" s="76"/>
      <c r="F420" s="75"/>
      <c r="G420" s="62"/>
      <c r="H420" s="63" t="str">
        <f t="shared" si="1"/>
        <v/>
      </c>
      <c r="I420" s="55"/>
    </row>
    <row r="421">
      <c r="A421" s="67"/>
      <c r="B421" s="73"/>
      <c r="C421" s="74"/>
      <c r="D421" s="75"/>
      <c r="E421" s="76"/>
      <c r="F421" s="75"/>
      <c r="G421" s="62"/>
      <c r="H421" s="63" t="str">
        <f t="shared" si="1"/>
        <v/>
      </c>
      <c r="I421" s="55"/>
    </row>
    <row r="422">
      <c r="A422" s="67"/>
      <c r="B422" s="73"/>
      <c r="C422" s="74"/>
      <c r="D422" s="75"/>
      <c r="E422" s="76"/>
      <c r="F422" s="75"/>
      <c r="G422" s="62"/>
      <c r="H422" s="63" t="str">
        <f t="shared" si="1"/>
        <v/>
      </c>
      <c r="I422" s="55"/>
    </row>
    <row r="423">
      <c r="A423" s="67"/>
      <c r="B423" s="73"/>
      <c r="C423" s="74"/>
      <c r="D423" s="75"/>
      <c r="E423" s="76"/>
      <c r="F423" s="75"/>
      <c r="G423" s="62"/>
      <c r="H423" s="63" t="str">
        <f t="shared" si="1"/>
        <v/>
      </c>
      <c r="I423" s="55"/>
    </row>
    <row r="424">
      <c r="A424" s="67"/>
      <c r="B424" s="73"/>
      <c r="C424" s="74"/>
      <c r="D424" s="75"/>
      <c r="E424" s="76"/>
      <c r="F424" s="75"/>
      <c r="G424" s="62"/>
      <c r="H424" s="63" t="str">
        <f t="shared" si="1"/>
        <v/>
      </c>
      <c r="I424" s="55"/>
    </row>
    <row r="425">
      <c r="A425" s="67"/>
      <c r="B425" s="73"/>
      <c r="C425" s="74"/>
      <c r="D425" s="75"/>
      <c r="E425" s="76"/>
      <c r="F425" s="75"/>
      <c r="G425" s="62"/>
      <c r="H425" s="63" t="str">
        <f t="shared" si="1"/>
        <v/>
      </c>
      <c r="I425" s="55"/>
    </row>
    <row r="426">
      <c r="A426" s="67"/>
      <c r="B426" s="73"/>
      <c r="C426" s="74"/>
      <c r="D426" s="75"/>
      <c r="E426" s="76"/>
      <c r="F426" s="75"/>
      <c r="G426" s="62"/>
      <c r="H426" s="63" t="str">
        <f t="shared" si="1"/>
        <v/>
      </c>
      <c r="I426" s="55"/>
    </row>
    <row r="427">
      <c r="A427" s="67"/>
      <c r="B427" s="73"/>
      <c r="C427" s="74"/>
      <c r="D427" s="75"/>
      <c r="E427" s="76"/>
      <c r="F427" s="75"/>
      <c r="G427" s="62"/>
      <c r="H427" s="63" t="str">
        <f t="shared" si="1"/>
        <v/>
      </c>
      <c r="I427" s="55"/>
    </row>
    <row r="428">
      <c r="A428" s="67"/>
      <c r="B428" s="73"/>
      <c r="C428" s="74"/>
      <c r="D428" s="75"/>
      <c r="E428" s="76"/>
      <c r="F428" s="75"/>
      <c r="G428" s="62"/>
      <c r="H428" s="63" t="str">
        <f t="shared" si="1"/>
        <v/>
      </c>
      <c r="I428" s="55"/>
    </row>
    <row r="429">
      <c r="A429" s="67"/>
      <c r="B429" s="73"/>
      <c r="C429" s="74"/>
      <c r="D429" s="75"/>
      <c r="E429" s="76"/>
      <c r="F429" s="75"/>
      <c r="G429" s="62"/>
      <c r="H429" s="63" t="str">
        <f t="shared" si="1"/>
        <v/>
      </c>
      <c r="I429" s="55"/>
    </row>
    <row r="430">
      <c r="A430" s="67"/>
      <c r="B430" s="73"/>
      <c r="C430" s="74"/>
      <c r="D430" s="75"/>
      <c r="E430" s="76"/>
      <c r="F430" s="75"/>
      <c r="G430" s="62"/>
      <c r="H430" s="63" t="str">
        <f t="shared" si="1"/>
        <v/>
      </c>
      <c r="I430" s="55"/>
    </row>
    <row r="431">
      <c r="A431" s="67"/>
      <c r="B431" s="73"/>
      <c r="C431" s="74"/>
      <c r="D431" s="75"/>
      <c r="E431" s="76"/>
      <c r="F431" s="75"/>
      <c r="G431" s="62"/>
      <c r="H431" s="63" t="str">
        <f t="shared" si="1"/>
        <v/>
      </c>
      <c r="I431" s="55"/>
    </row>
    <row r="432">
      <c r="A432" s="67"/>
      <c r="B432" s="73"/>
      <c r="C432" s="74"/>
      <c r="D432" s="75"/>
      <c r="E432" s="76"/>
      <c r="F432" s="75"/>
      <c r="G432" s="62"/>
      <c r="H432" s="63" t="str">
        <f t="shared" si="1"/>
        <v/>
      </c>
      <c r="I432" s="55"/>
    </row>
    <row r="433">
      <c r="A433" s="67"/>
      <c r="B433" s="73"/>
      <c r="C433" s="74"/>
      <c r="D433" s="75"/>
      <c r="E433" s="76"/>
      <c r="F433" s="75"/>
      <c r="G433" s="62"/>
      <c r="H433" s="63" t="str">
        <f t="shared" si="1"/>
        <v/>
      </c>
      <c r="I433" s="55"/>
    </row>
    <row r="434">
      <c r="A434" s="67"/>
      <c r="B434" s="73"/>
      <c r="C434" s="74"/>
      <c r="D434" s="75"/>
      <c r="E434" s="76"/>
      <c r="F434" s="75"/>
      <c r="G434" s="62"/>
      <c r="H434" s="63" t="str">
        <f t="shared" si="1"/>
        <v/>
      </c>
      <c r="I434" s="55"/>
    </row>
    <row r="435">
      <c r="A435" s="67"/>
      <c r="B435" s="73"/>
      <c r="C435" s="74"/>
      <c r="D435" s="75"/>
      <c r="E435" s="76"/>
      <c r="F435" s="75"/>
      <c r="G435" s="62"/>
      <c r="H435" s="63" t="str">
        <f t="shared" si="1"/>
        <v/>
      </c>
      <c r="I435" s="55"/>
    </row>
    <row r="436">
      <c r="A436" s="67"/>
      <c r="B436" s="73"/>
      <c r="C436" s="74"/>
      <c r="D436" s="75"/>
      <c r="E436" s="76"/>
      <c r="F436" s="75"/>
      <c r="G436" s="62"/>
      <c r="H436" s="63" t="str">
        <f t="shared" si="1"/>
        <v/>
      </c>
      <c r="I436" s="55"/>
    </row>
    <row r="437">
      <c r="A437" s="67"/>
      <c r="B437" s="73"/>
      <c r="C437" s="74"/>
      <c r="D437" s="75"/>
      <c r="E437" s="76"/>
      <c r="F437" s="75"/>
      <c r="G437" s="62"/>
      <c r="H437" s="63" t="str">
        <f t="shared" si="1"/>
        <v/>
      </c>
      <c r="I437" s="55"/>
    </row>
    <row r="438">
      <c r="A438" s="67"/>
      <c r="B438" s="73"/>
      <c r="C438" s="74"/>
      <c r="D438" s="75"/>
      <c r="E438" s="76"/>
      <c r="F438" s="75"/>
      <c r="G438" s="62"/>
      <c r="H438" s="63" t="str">
        <f t="shared" si="1"/>
        <v/>
      </c>
      <c r="I438" s="55"/>
    </row>
    <row r="439">
      <c r="A439" s="67"/>
      <c r="B439" s="73"/>
      <c r="C439" s="74"/>
      <c r="D439" s="75"/>
      <c r="E439" s="76"/>
      <c r="F439" s="75"/>
      <c r="G439" s="62"/>
      <c r="H439" s="63" t="str">
        <f t="shared" si="1"/>
        <v/>
      </c>
      <c r="I439" s="55"/>
    </row>
    <row r="440">
      <c r="A440" s="67"/>
      <c r="B440" s="73"/>
      <c r="C440" s="74"/>
      <c r="D440" s="75"/>
      <c r="E440" s="76"/>
      <c r="F440" s="75"/>
      <c r="G440" s="62"/>
      <c r="H440" s="63" t="str">
        <f t="shared" si="1"/>
        <v/>
      </c>
      <c r="I440" s="55"/>
    </row>
    <row r="441">
      <c r="A441" s="67"/>
      <c r="B441" s="73"/>
      <c r="C441" s="74"/>
      <c r="D441" s="75"/>
      <c r="E441" s="76"/>
      <c r="F441" s="75"/>
      <c r="G441" s="62"/>
      <c r="H441" s="63" t="str">
        <f t="shared" si="1"/>
        <v/>
      </c>
      <c r="I441" s="55"/>
    </row>
    <row r="442">
      <c r="A442" s="67"/>
      <c r="B442" s="73"/>
      <c r="C442" s="74"/>
      <c r="D442" s="75"/>
      <c r="E442" s="76"/>
      <c r="F442" s="75"/>
      <c r="G442" s="62"/>
      <c r="H442" s="63" t="str">
        <f t="shared" si="1"/>
        <v/>
      </c>
      <c r="I442" s="55"/>
    </row>
    <row r="443">
      <c r="A443" s="67"/>
      <c r="B443" s="73"/>
      <c r="C443" s="74"/>
      <c r="D443" s="75"/>
      <c r="E443" s="76"/>
      <c r="F443" s="75"/>
      <c r="G443" s="62"/>
      <c r="H443" s="63" t="str">
        <f t="shared" si="1"/>
        <v/>
      </c>
      <c r="I443" s="55"/>
    </row>
    <row r="444">
      <c r="A444" s="67"/>
      <c r="B444" s="73"/>
      <c r="C444" s="74"/>
      <c r="D444" s="75"/>
      <c r="E444" s="76"/>
      <c r="F444" s="75"/>
      <c r="G444" s="62"/>
      <c r="H444" s="63" t="str">
        <f t="shared" si="1"/>
        <v/>
      </c>
      <c r="I444" s="55"/>
    </row>
    <row r="445">
      <c r="A445" s="67"/>
      <c r="B445" s="73"/>
      <c r="C445" s="74"/>
      <c r="D445" s="75"/>
      <c r="E445" s="76"/>
      <c r="F445" s="75"/>
      <c r="G445" s="62"/>
      <c r="H445" s="63" t="str">
        <f t="shared" si="1"/>
        <v/>
      </c>
      <c r="I445" s="55"/>
    </row>
    <row r="446">
      <c r="A446" s="67"/>
      <c r="B446" s="73"/>
      <c r="C446" s="74"/>
      <c r="D446" s="75"/>
      <c r="E446" s="76"/>
      <c r="F446" s="75"/>
      <c r="G446" s="62"/>
      <c r="H446" s="63" t="str">
        <f t="shared" si="1"/>
        <v/>
      </c>
      <c r="I446" s="55"/>
    </row>
    <row r="447">
      <c r="A447" s="67"/>
      <c r="B447" s="73"/>
      <c r="C447" s="74"/>
      <c r="D447" s="75"/>
      <c r="E447" s="76"/>
      <c r="F447" s="75"/>
      <c r="G447" s="62"/>
      <c r="H447" s="63" t="str">
        <f t="shared" si="1"/>
        <v/>
      </c>
      <c r="I447" s="55"/>
    </row>
    <row r="448">
      <c r="A448" s="67"/>
      <c r="B448" s="73"/>
      <c r="C448" s="74"/>
      <c r="D448" s="75"/>
      <c r="E448" s="76"/>
      <c r="F448" s="75"/>
      <c r="G448" s="62"/>
      <c r="H448" s="63" t="str">
        <f t="shared" si="1"/>
        <v/>
      </c>
      <c r="I448" s="55"/>
    </row>
    <row r="449">
      <c r="A449" s="67"/>
      <c r="B449" s="73"/>
      <c r="C449" s="74"/>
      <c r="D449" s="75"/>
      <c r="E449" s="76"/>
      <c r="F449" s="75"/>
      <c r="G449" s="62"/>
      <c r="H449" s="63" t="str">
        <f t="shared" si="1"/>
        <v/>
      </c>
      <c r="I449" s="55"/>
    </row>
    <row r="450">
      <c r="A450" s="67"/>
      <c r="B450" s="73"/>
      <c r="C450" s="74"/>
      <c r="D450" s="75"/>
      <c r="E450" s="76"/>
      <c r="F450" s="75"/>
      <c r="G450" s="62"/>
      <c r="H450" s="63" t="str">
        <f t="shared" si="1"/>
        <v/>
      </c>
      <c r="I450" s="55"/>
    </row>
    <row r="451">
      <c r="A451" s="67"/>
      <c r="B451" s="73"/>
      <c r="C451" s="74"/>
      <c r="D451" s="75"/>
      <c r="E451" s="76"/>
      <c r="F451" s="75"/>
      <c r="G451" s="62"/>
      <c r="H451" s="63" t="str">
        <f t="shared" si="1"/>
        <v/>
      </c>
      <c r="I451" s="55"/>
    </row>
    <row r="452">
      <c r="A452" s="67"/>
      <c r="B452" s="73"/>
      <c r="C452" s="74"/>
      <c r="D452" s="75"/>
      <c r="E452" s="76"/>
      <c r="F452" s="75"/>
      <c r="G452" s="62"/>
      <c r="H452" s="63" t="str">
        <f t="shared" si="1"/>
        <v/>
      </c>
      <c r="I452" s="55"/>
    </row>
    <row r="453">
      <c r="A453" s="67"/>
      <c r="B453" s="73"/>
      <c r="C453" s="74"/>
      <c r="D453" s="75"/>
      <c r="E453" s="76"/>
      <c r="F453" s="75"/>
      <c r="G453" s="62"/>
      <c r="H453" s="63" t="str">
        <f t="shared" si="1"/>
        <v/>
      </c>
      <c r="I453" s="55"/>
    </row>
    <row r="454">
      <c r="A454" s="67"/>
      <c r="B454" s="73"/>
      <c r="C454" s="74"/>
      <c r="D454" s="75"/>
      <c r="E454" s="76"/>
      <c r="F454" s="75"/>
      <c r="G454" s="62"/>
      <c r="H454" s="63" t="str">
        <f t="shared" si="1"/>
        <v/>
      </c>
      <c r="I454" s="55"/>
    </row>
    <row r="455">
      <c r="A455" s="67"/>
      <c r="B455" s="73"/>
      <c r="C455" s="74"/>
      <c r="D455" s="75"/>
      <c r="E455" s="76"/>
      <c r="F455" s="75"/>
      <c r="G455" s="62"/>
      <c r="H455" s="63" t="str">
        <f t="shared" si="1"/>
        <v/>
      </c>
      <c r="I455" s="55"/>
    </row>
    <row r="456">
      <c r="A456" s="67"/>
      <c r="B456" s="73"/>
      <c r="C456" s="74"/>
      <c r="D456" s="75"/>
      <c r="E456" s="76"/>
      <c r="F456" s="75"/>
      <c r="G456" s="62"/>
      <c r="H456" s="63" t="str">
        <f t="shared" si="1"/>
        <v/>
      </c>
      <c r="I456" s="55"/>
    </row>
    <row r="457">
      <c r="A457" s="67"/>
      <c r="B457" s="73"/>
      <c r="C457" s="74"/>
      <c r="D457" s="75"/>
      <c r="E457" s="76"/>
      <c r="F457" s="75"/>
      <c r="G457" s="62"/>
      <c r="H457" s="63" t="str">
        <f t="shared" si="1"/>
        <v/>
      </c>
      <c r="I457" s="55"/>
    </row>
    <row r="458">
      <c r="A458" s="67"/>
      <c r="B458" s="73"/>
      <c r="C458" s="74"/>
      <c r="D458" s="75"/>
      <c r="E458" s="76"/>
      <c r="F458" s="75"/>
      <c r="G458" s="62"/>
      <c r="H458" s="63" t="str">
        <f t="shared" si="1"/>
        <v/>
      </c>
      <c r="I458" s="55"/>
    </row>
    <row r="459">
      <c r="A459" s="67"/>
      <c r="B459" s="73"/>
      <c r="C459" s="74"/>
      <c r="D459" s="75"/>
      <c r="E459" s="76"/>
      <c r="F459" s="75"/>
      <c r="G459" s="62"/>
      <c r="H459" s="63" t="str">
        <f t="shared" si="1"/>
        <v/>
      </c>
      <c r="I459" s="55"/>
    </row>
    <row r="460">
      <c r="A460" s="67"/>
      <c r="B460" s="73"/>
      <c r="C460" s="74"/>
      <c r="D460" s="75"/>
      <c r="E460" s="76"/>
      <c r="F460" s="75"/>
      <c r="G460" s="62"/>
      <c r="H460" s="63" t="str">
        <f t="shared" si="1"/>
        <v/>
      </c>
      <c r="I460" s="55"/>
    </row>
    <row r="461">
      <c r="A461" s="67"/>
      <c r="B461" s="73"/>
      <c r="C461" s="74"/>
      <c r="D461" s="75"/>
      <c r="E461" s="76"/>
      <c r="F461" s="75"/>
      <c r="G461" s="62"/>
      <c r="H461" s="63" t="str">
        <f t="shared" si="1"/>
        <v/>
      </c>
      <c r="I461" s="55"/>
    </row>
    <row r="462">
      <c r="A462" s="67"/>
      <c r="B462" s="73"/>
      <c r="C462" s="74"/>
      <c r="D462" s="75"/>
      <c r="E462" s="76"/>
      <c r="F462" s="75"/>
      <c r="G462" s="62"/>
      <c r="H462" s="63" t="str">
        <f t="shared" si="1"/>
        <v/>
      </c>
      <c r="I462" s="55"/>
    </row>
    <row r="463">
      <c r="A463" s="67"/>
      <c r="B463" s="73"/>
      <c r="C463" s="74"/>
      <c r="D463" s="75"/>
      <c r="E463" s="76"/>
      <c r="F463" s="75"/>
      <c r="G463" s="62"/>
      <c r="H463" s="63" t="str">
        <f t="shared" si="1"/>
        <v/>
      </c>
      <c r="I463" s="55"/>
    </row>
    <row r="464">
      <c r="A464" s="67"/>
      <c r="B464" s="73"/>
      <c r="C464" s="74"/>
      <c r="D464" s="75"/>
      <c r="E464" s="76"/>
      <c r="F464" s="75"/>
      <c r="G464" s="62"/>
      <c r="H464" s="63" t="str">
        <f t="shared" si="1"/>
        <v/>
      </c>
      <c r="I464" s="55"/>
    </row>
    <row r="465">
      <c r="A465" s="67"/>
      <c r="B465" s="73"/>
      <c r="C465" s="74"/>
      <c r="D465" s="75"/>
      <c r="E465" s="76"/>
      <c r="F465" s="75"/>
      <c r="G465" s="62"/>
      <c r="H465" s="63" t="str">
        <f t="shared" si="1"/>
        <v/>
      </c>
      <c r="I465" s="55"/>
    </row>
    <row r="466">
      <c r="A466" s="67"/>
      <c r="B466" s="73"/>
      <c r="C466" s="74"/>
      <c r="D466" s="75"/>
      <c r="E466" s="76"/>
      <c r="F466" s="75"/>
      <c r="G466" s="62"/>
      <c r="H466" s="63" t="str">
        <f t="shared" si="1"/>
        <v/>
      </c>
      <c r="I466" s="55"/>
    </row>
    <row r="467">
      <c r="A467" s="67"/>
      <c r="B467" s="73"/>
      <c r="C467" s="74"/>
      <c r="D467" s="75"/>
      <c r="E467" s="76"/>
      <c r="F467" s="75"/>
      <c r="G467" s="62"/>
      <c r="H467" s="63" t="str">
        <f t="shared" si="1"/>
        <v/>
      </c>
      <c r="I467" s="55"/>
    </row>
    <row r="468">
      <c r="A468" s="67"/>
      <c r="B468" s="73"/>
      <c r="C468" s="74"/>
      <c r="D468" s="75"/>
      <c r="E468" s="76"/>
      <c r="F468" s="75"/>
      <c r="G468" s="62"/>
      <c r="H468" s="63" t="str">
        <f t="shared" si="1"/>
        <v/>
      </c>
      <c r="I468" s="55"/>
    </row>
    <row r="469">
      <c r="A469" s="67"/>
      <c r="B469" s="73"/>
      <c r="C469" s="74"/>
      <c r="D469" s="75"/>
      <c r="E469" s="76"/>
      <c r="F469" s="75"/>
      <c r="G469" s="62"/>
      <c r="H469" s="63" t="str">
        <f t="shared" si="1"/>
        <v/>
      </c>
      <c r="I469" s="55"/>
    </row>
    <row r="470">
      <c r="A470" s="67"/>
      <c r="B470" s="73"/>
      <c r="C470" s="74"/>
      <c r="D470" s="75"/>
      <c r="E470" s="76"/>
      <c r="F470" s="75"/>
      <c r="G470" s="62"/>
      <c r="H470" s="63" t="str">
        <f t="shared" si="1"/>
        <v/>
      </c>
      <c r="I470" s="55"/>
    </row>
    <row r="471">
      <c r="A471" s="67"/>
      <c r="B471" s="73"/>
      <c r="C471" s="74"/>
      <c r="D471" s="75"/>
      <c r="E471" s="76"/>
      <c r="F471" s="75"/>
      <c r="G471" s="62"/>
      <c r="H471" s="63" t="str">
        <f t="shared" si="1"/>
        <v/>
      </c>
      <c r="I471" s="55"/>
    </row>
    <row r="472">
      <c r="A472" s="67"/>
      <c r="B472" s="73"/>
      <c r="C472" s="74"/>
      <c r="D472" s="75"/>
      <c r="E472" s="76"/>
      <c r="F472" s="75"/>
      <c r="G472" s="62"/>
      <c r="H472" s="63" t="str">
        <f t="shared" si="1"/>
        <v/>
      </c>
      <c r="I472" s="55"/>
    </row>
    <row r="473">
      <c r="A473" s="67"/>
      <c r="B473" s="73"/>
      <c r="C473" s="74"/>
      <c r="D473" s="75"/>
      <c r="E473" s="76"/>
      <c r="F473" s="75"/>
      <c r="G473" s="62"/>
      <c r="H473" s="63" t="str">
        <f t="shared" si="1"/>
        <v/>
      </c>
      <c r="I473" s="55"/>
    </row>
    <row r="474">
      <c r="A474" s="67"/>
      <c r="B474" s="73"/>
      <c r="C474" s="74"/>
      <c r="D474" s="75"/>
      <c r="E474" s="76"/>
      <c r="F474" s="75"/>
      <c r="G474" s="62"/>
      <c r="H474" s="63" t="str">
        <f t="shared" si="1"/>
        <v/>
      </c>
      <c r="I474" s="55"/>
    </row>
    <row r="475">
      <c r="A475" s="67"/>
      <c r="B475" s="73"/>
      <c r="C475" s="74"/>
      <c r="D475" s="75"/>
      <c r="E475" s="76"/>
      <c r="F475" s="75"/>
      <c r="G475" s="62"/>
      <c r="H475" s="63" t="str">
        <f t="shared" si="1"/>
        <v/>
      </c>
      <c r="I475" s="55"/>
    </row>
    <row r="476">
      <c r="A476" s="67"/>
      <c r="B476" s="73"/>
      <c r="C476" s="74"/>
      <c r="D476" s="75"/>
      <c r="E476" s="76"/>
      <c r="F476" s="75"/>
      <c r="G476" s="62"/>
      <c r="H476" s="63" t="str">
        <f t="shared" si="1"/>
        <v/>
      </c>
      <c r="I476" s="55"/>
    </row>
    <row r="477">
      <c r="A477" s="67"/>
      <c r="B477" s="73"/>
      <c r="C477" s="74"/>
      <c r="D477" s="75"/>
      <c r="E477" s="76"/>
      <c r="F477" s="75"/>
      <c r="G477" s="62"/>
      <c r="H477" s="63" t="str">
        <f t="shared" si="1"/>
        <v/>
      </c>
      <c r="I477" s="55"/>
    </row>
    <row r="478">
      <c r="A478" s="67"/>
      <c r="B478" s="73"/>
      <c r="C478" s="74"/>
      <c r="D478" s="75"/>
      <c r="E478" s="76"/>
      <c r="F478" s="75"/>
      <c r="G478" s="62"/>
      <c r="H478" s="63" t="str">
        <f t="shared" si="1"/>
        <v/>
      </c>
      <c r="I478" s="55"/>
    </row>
    <row r="479">
      <c r="A479" s="67"/>
      <c r="B479" s="73"/>
      <c r="C479" s="74"/>
      <c r="D479" s="75"/>
      <c r="E479" s="76"/>
      <c r="F479" s="75"/>
      <c r="G479" s="62"/>
      <c r="H479" s="63" t="str">
        <f t="shared" si="1"/>
        <v/>
      </c>
      <c r="I479" s="55"/>
    </row>
    <row r="480">
      <c r="A480" s="67"/>
      <c r="B480" s="73"/>
      <c r="C480" s="74"/>
      <c r="D480" s="75"/>
      <c r="E480" s="76"/>
      <c r="F480" s="75"/>
      <c r="G480" s="62"/>
      <c r="H480" s="63" t="str">
        <f t="shared" si="1"/>
        <v/>
      </c>
      <c r="I480" s="55"/>
    </row>
    <row r="481">
      <c r="A481" s="67"/>
      <c r="B481" s="73"/>
      <c r="C481" s="74"/>
      <c r="D481" s="75"/>
      <c r="E481" s="76"/>
      <c r="F481" s="75"/>
      <c r="G481" s="62"/>
      <c r="H481" s="63" t="str">
        <f t="shared" si="1"/>
        <v/>
      </c>
      <c r="I481" s="55"/>
    </row>
    <row r="482">
      <c r="A482" s="67"/>
      <c r="B482" s="73"/>
      <c r="C482" s="74"/>
      <c r="D482" s="75"/>
      <c r="E482" s="76"/>
      <c r="F482" s="75"/>
      <c r="G482" s="62"/>
      <c r="H482" s="63" t="str">
        <f t="shared" si="1"/>
        <v/>
      </c>
      <c r="I482" s="55"/>
    </row>
    <row r="483">
      <c r="A483" s="67"/>
      <c r="B483" s="73"/>
      <c r="C483" s="74"/>
      <c r="D483" s="75"/>
      <c r="E483" s="76"/>
      <c r="F483" s="75"/>
      <c r="G483" s="62"/>
      <c r="H483" s="63" t="str">
        <f t="shared" si="1"/>
        <v/>
      </c>
      <c r="I483" s="55"/>
    </row>
    <row r="484">
      <c r="A484" s="67"/>
      <c r="B484" s="73"/>
      <c r="C484" s="74"/>
      <c r="D484" s="75"/>
      <c r="E484" s="76"/>
      <c r="F484" s="75"/>
      <c r="G484" s="62"/>
      <c r="H484" s="63" t="str">
        <f t="shared" si="1"/>
        <v/>
      </c>
      <c r="I484" s="55"/>
    </row>
    <row r="485">
      <c r="A485" s="67"/>
      <c r="B485" s="73"/>
      <c r="C485" s="74"/>
      <c r="D485" s="75"/>
      <c r="E485" s="76"/>
      <c r="F485" s="75"/>
      <c r="G485" s="62"/>
      <c r="H485" s="63" t="str">
        <f t="shared" si="1"/>
        <v/>
      </c>
      <c r="I485" s="55"/>
    </row>
    <row r="486">
      <c r="A486" s="67"/>
      <c r="B486" s="73"/>
      <c r="C486" s="74"/>
      <c r="D486" s="75"/>
      <c r="E486" s="76"/>
      <c r="F486" s="75"/>
      <c r="G486" s="62"/>
      <c r="H486" s="63" t="str">
        <f t="shared" si="1"/>
        <v/>
      </c>
      <c r="I486" s="55"/>
    </row>
    <row r="487">
      <c r="A487" s="67"/>
      <c r="B487" s="73"/>
      <c r="C487" s="74"/>
      <c r="D487" s="75"/>
      <c r="E487" s="76"/>
      <c r="F487" s="75"/>
      <c r="G487" s="62"/>
      <c r="H487" s="63" t="str">
        <f t="shared" si="1"/>
        <v/>
      </c>
      <c r="I487" s="55"/>
    </row>
    <row r="488">
      <c r="A488" s="67"/>
      <c r="B488" s="73"/>
      <c r="C488" s="74"/>
      <c r="D488" s="75"/>
      <c r="E488" s="76"/>
      <c r="F488" s="75"/>
      <c r="G488" s="62"/>
      <c r="H488" s="63" t="str">
        <f t="shared" si="1"/>
        <v/>
      </c>
      <c r="I488" s="55"/>
    </row>
    <row r="489">
      <c r="A489" s="67"/>
      <c r="B489" s="73"/>
      <c r="C489" s="74"/>
      <c r="D489" s="75"/>
      <c r="E489" s="76"/>
      <c r="F489" s="75"/>
      <c r="G489" s="62"/>
      <c r="H489" s="63" t="str">
        <f t="shared" si="1"/>
        <v/>
      </c>
      <c r="I489" s="55"/>
    </row>
    <row r="490">
      <c r="A490" s="67"/>
      <c r="B490" s="73"/>
      <c r="C490" s="74"/>
      <c r="D490" s="75"/>
      <c r="E490" s="76"/>
      <c r="F490" s="75"/>
      <c r="G490" s="62"/>
      <c r="H490" s="63" t="str">
        <f t="shared" si="1"/>
        <v/>
      </c>
      <c r="I490" s="55"/>
    </row>
    <row r="491">
      <c r="A491" s="67"/>
      <c r="B491" s="73"/>
      <c r="C491" s="74"/>
      <c r="D491" s="75"/>
      <c r="E491" s="76"/>
      <c r="F491" s="75"/>
      <c r="G491" s="62"/>
      <c r="H491" s="63" t="str">
        <f t="shared" si="1"/>
        <v/>
      </c>
      <c r="I491" s="55"/>
    </row>
    <row r="492">
      <c r="A492" s="67"/>
      <c r="B492" s="73"/>
      <c r="C492" s="74"/>
      <c r="D492" s="75"/>
      <c r="E492" s="76"/>
      <c r="F492" s="75"/>
      <c r="G492" s="62"/>
      <c r="H492" s="63" t="str">
        <f t="shared" si="1"/>
        <v/>
      </c>
      <c r="I492" s="55"/>
    </row>
    <row r="493">
      <c r="A493" s="67"/>
      <c r="B493" s="73"/>
      <c r="C493" s="74"/>
      <c r="D493" s="75"/>
      <c r="E493" s="76"/>
      <c r="F493" s="75"/>
      <c r="G493" s="62"/>
      <c r="H493" s="63" t="str">
        <f t="shared" si="1"/>
        <v/>
      </c>
      <c r="I493" s="55"/>
    </row>
    <row r="494">
      <c r="A494" s="67"/>
      <c r="B494" s="73"/>
      <c r="C494" s="74"/>
      <c r="D494" s="75"/>
      <c r="E494" s="76"/>
      <c r="F494" s="75"/>
      <c r="G494" s="62"/>
      <c r="H494" s="63" t="str">
        <f t="shared" si="1"/>
        <v/>
      </c>
      <c r="I494" s="55"/>
    </row>
    <row r="495">
      <c r="A495" s="67"/>
      <c r="B495" s="73"/>
      <c r="C495" s="74"/>
      <c r="D495" s="75"/>
      <c r="E495" s="76"/>
      <c r="F495" s="75"/>
      <c r="G495" s="62"/>
      <c r="H495" s="63" t="str">
        <f t="shared" si="1"/>
        <v/>
      </c>
      <c r="I495" s="55"/>
    </row>
    <row r="496">
      <c r="A496" s="67"/>
      <c r="B496" s="73"/>
      <c r="C496" s="74"/>
      <c r="D496" s="75"/>
      <c r="E496" s="76"/>
      <c r="F496" s="75"/>
      <c r="G496" s="62"/>
      <c r="H496" s="63" t="str">
        <f t="shared" si="1"/>
        <v/>
      </c>
      <c r="I496" s="55"/>
    </row>
    <row r="497">
      <c r="A497" s="67"/>
      <c r="B497" s="73"/>
      <c r="C497" s="74"/>
      <c r="D497" s="75"/>
      <c r="E497" s="76"/>
      <c r="F497" s="75"/>
      <c r="G497" s="62"/>
      <c r="H497" s="63" t="str">
        <f t="shared" si="1"/>
        <v/>
      </c>
      <c r="I497" s="55"/>
    </row>
    <row r="498">
      <c r="A498" s="67"/>
      <c r="B498" s="73"/>
      <c r="C498" s="74"/>
      <c r="D498" s="75"/>
      <c r="E498" s="76"/>
      <c r="F498" s="75"/>
      <c r="G498" s="62"/>
      <c r="H498" s="63" t="str">
        <f t="shared" si="1"/>
        <v/>
      </c>
      <c r="I498" s="55"/>
    </row>
    <row r="499">
      <c r="A499" s="67"/>
      <c r="B499" s="73"/>
      <c r="C499" s="74"/>
      <c r="D499" s="75"/>
      <c r="E499" s="76"/>
      <c r="F499" s="75"/>
      <c r="G499" s="62"/>
      <c r="H499" s="63" t="str">
        <f t="shared" si="1"/>
        <v/>
      </c>
      <c r="I499" s="55"/>
    </row>
    <row r="500">
      <c r="A500" s="67"/>
      <c r="B500" s="73"/>
      <c r="C500" s="74"/>
      <c r="D500" s="75"/>
      <c r="E500" s="76"/>
      <c r="F500" s="75"/>
      <c r="G500" s="62"/>
      <c r="H500" s="63" t="str">
        <f t="shared" si="1"/>
        <v/>
      </c>
      <c r="I500" s="55"/>
    </row>
    <row r="501">
      <c r="A501" s="67"/>
      <c r="B501" s="73"/>
      <c r="C501" s="74"/>
      <c r="D501" s="75"/>
      <c r="E501" s="76"/>
      <c r="F501" s="75"/>
      <c r="G501" s="62"/>
      <c r="H501" s="63" t="str">
        <f t="shared" si="1"/>
        <v/>
      </c>
      <c r="I501" s="55"/>
    </row>
    <row r="502">
      <c r="A502" s="67"/>
      <c r="B502" s="73"/>
      <c r="C502" s="74"/>
      <c r="D502" s="75"/>
      <c r="E502" s="76"/>
      <c r="F502" s="75"/>
      <c r="G502" s="62"/>
      <c r="H502" s="63" t="str">
        <f t="shared" si="1"/>
        <v/>
      </c>
      <c r="I502" s="55"/>
    </row>
    <row r="503">
      <c r="A503" s="67"/>
      <c r="B503" s="73"/>
      <c r="C503" s="74"/>
      <c r="D503" s="75"/>
      <c r="E503" s="76"/>
      <c r="F503" s="75"/>
      <c r="G503" s="62"/>
      <c r="H503" s="63" t="str">
        <f t="shared" si="1"/>
        <v/>
      </c>
      <c r="I503" s="55"/>
    </row>
    <row r="504">
      <c r="A504" s="67"/>
      <c r="B504" s="73"/>
      <c r="C504" s="74"/>
      <c r="D504" s="75"/>
      <c r="E504" s="76"/>
      <c r="F504" s="75"/>
      <c r="G504" s="62"/>
      <c r="H504" s="63" t="str">
        <f t="shared" si="1"/>
        <v/>
      </c>
      <c r="I504" s="55"/>
    </row>
    <row r="505">
      <c r="A505" s="67"/>
      <c r="B505" s="73"/>
      <c r="C505" s="74"/>
      <c r="D505" s="75"/>
      <c r="E505" s="76"/>
      <c r="F505" s="75"/>
      <c r="G505" s="62"/>
      <c r="H505" s="63" t="str">
        <f t="shared" si="1"/>
        <v/>
      </c>
      <c r="I505" s="55"/>
    </row>
    <row r="506">
      <c r="A506" s="67"/>
      <c r="B506" s="73"/>
      <c r="C506" s="74"/>
      <c r="D506" s="75"/>
      <c r="E506" s="76"/>
      <c r="F506" s="75"/>
      <c r="G506" s="62"/>
      <c r="H506" s="63" t="str">
        <f t="shared" si="1"/>
        <v/>
      </c>
      <c r="I506" s="55"/>
    </row>
    <row r="507">
      <c r="A507" s="67"/>
      <c r="B507" s="73"/>
      <c r="C507" s="74"/>
      <c r="D507" s="75"/>
      <c r="E507" s="76"/>
      <c r="F507" s="75"/>
      <c r="G507" s="62"/>
      <c r="H507" s="63" t="str">
        <f t="shared" si="1"/>
        <v/>
      </c>
      <c r="I507" s="55"/>
    </row>
    <row r="508">
      <c r="A508" s="67"/>
      <c r="B508" s="73"/>
      <c r="C508" s="74"/>
      <c r="D508" s="75"/>
      <c r="E508" s="76"/>
      <c r="F508" s="75"/>
      <c r="G508" s="62"/>
      <c r="H508" s="63" t="str">
        <f t="shared" si="1"/>
        <v/>
      </c>
      <c r="I508" s="55"/>
    </row>
    <row r="509">
      <c r="A509" s="67"/>
      <c r="B509" s="73"/>
      <c r="C509" s="74"/>
      <c r="D509" s="75"/>
      <c r="E509" s="76"/>
      <c r="F509" s="75"/>
      <c r="G509" s="62"/>
      <c r="H509" s="63" t="str">
        <f t="shared" si="1"/>
        <v/>
      </c>
      <c r="I509" s="55"/>
    </row>
    <row r="510">
      <c r="A510" s="67"/>
      <c r="B510" s="73"/>
      <c r="C510" s="74"/>
      <c r="D510" s="75"/>
      <c r="E510" s="76"/>
      <c r="F510" s="75"/>
      <c r="G510" s="62"/>
      <c r="H510" s="63" t="str">
        <f t="shared" si="1"/>
        <v/>
      </c>
      <c r="I510" s="55"/>
    </row>
    <row r="511">
      <c r="A511" s="67"/>
      <c r="B511" s="73"/>
      <c r="C511" s="74"/>
      <c r="D511" s="75"/>
      <c r="E511" s="76"/>
      <c r="F511" s="75"/>
      <c r="G511" s="62"/>
      <c r="H511" s="63" t="str">
        <f t="shared" si="1"/>
        <v/>
      </c>
      <c r="I511" s="55"/>
    </row>
    <row r="512">
      <c r="A512" s="67"/>
      <c r="B512" s="73"/>
      <c r="C512" s="74"/>
      <c r="D512" s="75"/>
      <c r="E512" s="76"/>
      <c r="F512" s="75"/>
      <c r="G512" s="62"/>
      <c r="H512" s="63" t="str">
        <f t="shared" si="1"/>
        <v/>
      </c>
      <c r="I512" s="55"/>
    </row>
    <row r="513">
      <c r="A513" s="67"/>
      <c r="B513" s="73"/>
      <c r="C513" s="74"/>
      <c r="D513" s="75"/>
      <c r="E513" s="76"/>
      <c r="F513" s="75"/>
      <c r="G513" s="62"/>
      <c r="H513" s="63" t="str">
        <f t="shared" si="1"/>
        <v/>
      </c>
      <c r="I513" s="55"/>
    </row>
    <row r="514">
      <c r="A514" s="67"/>
      <c r="B514" s="73"/>
      <c r="C514" s="74"/>
      <c r="D514" s="75"/>
      <c r="E514" s="76"/>
      <c r="F514" s="75"/>
      <c r="G514" s="62"/>
      <c r="H514" s="63" t="str">
        <f t="shared" si="1"/>
        <v/>
      </c>
      <c r="I514" s="55"/>
    </row>
    <row r="515">
      <c r="A515" s="67"/>
      <c r="B515" s="73"/>
      <c r="C515" s="74"/>
      <c r="D515" s="75"/>
      <c r="E515" s="76"/>
      <c r="F515" s="75"/>
      <c r="G515" s="62"/>
      <c r="H515" s="63" t="str">
        <f t="shared" si="1"/>
        <v/>
      </c>
      <c r="I515" s="55"/>
    </row>
    <row r="516">
      <c r="A516" s="67"/>
      <c r="B516" s="73"/>
      <c r="C516" s="74"/>
      <c r="D516" s="75"/>
      <c r="E516" s="76"/>
      <c r="F516" s="75"/>
      <c r="G516" s="62"/>
      <c r="H516" s="63" t="str">
        <f t="shared" si="1"/>
        <v/>
      </c>
      <c r="I516" s="55"/>
    </row>
    <row r="517">
      <c r="A517" s="67"/>
      <c r="B517" s="73"/>
      <c r="C517" s="74"/>
      <c r="D517" s="75"/>
      <c r="E517" s="76"/>
      <c r="F517" s="75"/>
      <c r="G517" s="62"/>
      <c r="H517" s="63" t="str">
        <f t="shared" si="1"/>
        <v/>
      </c>
      <c r="I517" s="55"/>
    </row>
    <row r="518">
      <c r="A518" s="67"/>
      <c r="B518" s="73"/>
      <c r="C518" s="74"/>
      <c r="D518" s="75"/>
      <c r="E518" s="76"/>
      <c r="F518" s="75"/>
      <c r="G518" s="62"/>
      <c r="H518" s="63" t="str">
        <f t="shared" si="1"/>
        <v/>
      </c>
      <c r="I518" s="55"/>
    </row>
    <row r="519">
      <c r="A519" s="67"/>
      <c r="B519" s="73"/>
      <c r="C519" s="74"/>
      <c r="D519" s="75"/>
      <c r="E519" s="76"/>
      <c r="F519" s="75"/>
      <c r="G519" s="62"/>
      <c r="H519" s="63" t="str">
        <f t="shared" si="1"/>
        <v/>
      </c>
      <c r="I519" s="55"/>
    </row>
    <row r="520">
      <c r="A520" s="67"/>
      <c r="B520" s="73"/>
      <c r="C520" s="74"/>
      <c r="D520" s="75"/>
      <c r="E520" s="76"/>
      <c r="F520" s="75"/>
      <c r="G520" s="62"/>
      <c r="H520" s="63" t="str">
        <f t="shared" si="1"/>
        <v/>
      </c>
      <c r="I520" s="55"/>
    </row>
    <row r="521">
      <c r="A521" s="67"/>
      <c r="B521" s="73"/>
      <c r="C521" s="74"/>
      <c r="D521" s="75"/>
      <c r="E521" s="76"/>
      <c r="F521" s="75"/>
      <c r="G521" s="62"/>
      <c r="H521" s="63" t="str">
        <f t="shared" si="1"/>
        <v/>
      </c>
      <c r="I521" s="55"/>
    </row>
    <row r="522">
      <c r="A522" s="67"/>
      <c r="B522" s="73"/>
      <c r="C522" s="74"/>
      <c r="D522" s="75"/>
      <c r="E522" s="76"/>
      <c r="F522" s="75"/>
      <c r="G522" s="62"/>
      <c r="H522" s="63" t="str">
        <f t="shared" si="1"/>
        <v/>
      </c>
      <c r="I522" s="55"/>
    </row>
    <row r="523">
      <c r="A523" s="67"/>
      <c r="B523" s="73"/>
      <c r="C523" s="74"/>
      <c r="D523" s="75"/>
      <c r="E523" s="76"/>
      <c r="F523" s="75"/>
      <c r="G523" s="62"/>
      <c r="H523" s="63" t="str">
        <f t="shared" si="1"/>
        <v/>
      </c>
      <c r="I523" s="55"/>
    </row>
    <row r="524">
      <c r="A524" s="67"/>
      <c r="B524" s="73"/>
      <c r="C524" s="74"/>
      <c r="D524" s="75"/>
      <c r="E524" s="76"/>
      <c r="F524" s="75"/>
      <c r="G524" s="62"/>
      <c r="H524" s="63" t="str">
        <f t="shared" si="1"/>
        <v/>
      </c>
      <c r="I524" s="55"/>
    </row>
    <row r="525">
      <c r="A525" s="67"/>
      <c r="B525" s="73"/>
      <c r="C525" s="74"/>
      <c r="D525" s="75"/>
      <c r="E525" s="76"/>
      <c r="F525" s="75"/>
      <c r="G525" s="62"/>
      <c r="H525" s="63" t="str">
        <f t="shared" si="1"/>
        <v/>
      </c>
      <c r="I525" s="55"/>
    </row>
    <row r="526">
      <c r="A526" s="67"/>
      <c r="B526" s="73"/>
      <c r="C526" s="74"/>
      <c r="D526" s="75"/>
      <c r="E526" s="76"/>
      <c r="F526" s="75"/>
      <c r="G526" s="62"/>
      <c r="H526" s="63" t="str">
        <f t="shared" si="1"/>
        <v/>
      </c>
      <c r="I526" s="55"/>
    </row>
    <row r="527">
      <c r="A527" s="67"/>
      <c r="B527" s="73"/>
      <c r="C527" s="74"/>
      <c r="D527" s="75"/>
      <c r="E527" s="76"/>
      <c r="F527" s="75"/>
      <c r="G527" s="62"/>
      <c r="H527" s="63" t="str">
        <f t="shared" si="1"/>
        <v/>
      </c>
      <c r="I527" s="55"/>
    </row>
    <row r="528">
      <c r="A528" s="67"/>
      <c r="B528" s="73"/>
      <c r="C528" s="74"/>
      <c r="D528" s="75"/>
      <c r="E528" s="76"/>
      <c r="F528" s="75"/>
      <c r="G528" s="62"/>
      <c r="H528" s="63" t="str">
        <f t="shared" si="1"/>
        <v/>
      </c>
      <c r="I528" s="55"/>
    </row>
    <row r="529">
      <c r="A529" s="67"/>
      <c r="B529" s="73"/>
      <c r="C529" s="74"/>
      <c r="D529" s="75"/>
      <c r="E529" s="76"/>
      <c r="F529" s="75"/>
      <c r="G529" s="62"/>
      <c r="H529" s="63" t="str">
        <f t="shared" si="1"/>
        <v/>
      </c>
      <c r="I529" s="55"/>
    </row>
    <row r="530">
      <c r="A530" s="67"/>
      <c r="B530" s="73"/>
      <c r="C530" s="74"/>
      <c r="D530" s="75"/>
      <c r="E530" s="76"/>
      <c r="F530" s="75"/>
      <c r="G530" s="62"/>
      <c r="H530" s="63" t="str">
        <f t="shared" si="1"/>
        <v/>
      </c>
      <c r="I530" s="55"/>
    </row>
    <row r="531">
      <c r="A531" s="67"/>
      <c r="B531" s="73"/>
      <c r="C531" s="74"/>
      <c r="D531" s="75"/>
      <c r="E531" s="76"/>
      <c r="F531" s="75"/>
      <c r="G531" s="62"/>
      <c r="H531" s="63" t="str">
        <f t="shared" si="1"/>
        <v/>
      </c>
      <c r="I531" s="55"/>
    </row>
    <row r="532">
      <c r="A532" s="67"/>
      <c r="B532" s="73"/>
      <c r="C532" s="74"/>
      <c r="D532" s="75"/>
      <c r="E532" s="76"/>
      <c r="F532" s="75"/>
      <c r="G532" s="62"/>
      <c r="H532" s="63" t="str">
        <f t="shared" si="1"/>
        <v/>
      </c>
      <c r="I532" s="55"/>
    </row>
    <row r="533">
      <c r="A533" s="67"/>
      <c r="B533" s="73"/>
      <c r="C533" s="74"/>
      <c r="D533" s="75"/>
      <c r="E533" s="76"/>
      <c r="F533" s="75"/>
      <c r="G533" s="62"/>
      <c r="H533" s="63" t="str">
        <f t="shared" si="1"/>
        <v/>
      </c>
      <c r="I533" s="55"/>
    </row>
    <row r="534">
      <c r="A534" s="67"/>
      <c r="B534" s="73"/>
      <c r="C534" s="74"/>
      <c r="D534" s="75"/>
      <c r="E534" s="76"/>
      <c r="F534" s="75"/>
      <c r="G534" s="62"/>
      <c r="H534" s="63" t="str">
        <f t="shared" si="1"/>
        <v/>
      </c>
      <c r="I534" s="55"/>
    </row>
    <row r="535">
      <c r="A535" s="67"/>
      <c r="B535" s="73"/>
      <c r="C535" s="74"/>
      <c r="D535" s="75"/>
      <c r="E535" s="76"/>
      <c r="F535" s="75"/>
      <c r="G535" s="62"/>
      <c r="H535" s="63" t="str">
        <f t="shared" si="1"/>
        <v/>
      </c>
      <c r="I535" s="55"/>
    </row>
    <row r="536">
      <c r="A536" s="67"/>
      <c r="B536" s="73"/>
      <c r="C536" s="74"/>
      <c r="D536" s="75"/>
      <c r="E536" s="76"/>
      <c r="F536" s="75"/>
      <c r="G536" s="62"/>
      <c r="H536" s="63" t="str">
        <f t="shared" si="1"/>
        <v/>
      </c>
      <c r="I536" s="55"/>
    </row>
    <row r="537">
      <c r="A537" s="67"/>
      <c r="B537" s="73"/>
      <c r="C537" s="74"/>
      <c r="D537" s="75"/>
      <c r="E537" s="76"/>
      <c r="F537" s="75"/>
      <c r="G537" s="62"/>
      <c r="H537" s="63" t="str">
        <f t="shared" si="1"/>
        <v/>
      </c>
      <c r="I537" s="55"/>
    </row>
    <row r="538">
      <c r="A538" s="67"/>
      <c r="B538" s="73"/>
      <c r="C538" s="74"/>
      <c r="D538" s="75"/>
      <c r="E538" s="76"/>
      <c r="F538" s="75"/>
      <c r="G538" s="62"/>
      <c r="H538" s="63" t="str">
        <f t="shared" si="1"/>
        <v/>
      </c>
      <c r="I538" s="55"/>
    </row>
    <row r="539">
      <c r="A539" s="67"/>
      <c r="B539" s="73"/>
      <c r="C539" s="74"/>
      <c r="D539" s="75"/>
      <c r="E539" s="76"/>
      <c r="F539" s="75"/>
      <c r="G539" s="62"/>
      <c r="H539" s="63" t="str">
        <f t="shared" si="1"/>
        <v/>
      </c>
      <c r="I539" s="55"/>
    </row>
    <row r="540">
      <c r="A540" s="67"/>
      <c r="B540" s="73"/>
      <c r="C540" s="74"/>
      <c r="D540" s="75"/>
      <c r="E540" s="76"/>
      <c r="F540" s="75"/>
      <c r="G540" s="62"/>
      <c r="H540" s="63" t="str">
        <f t="shared" si="1"/>
        <v/>
      </c>
      <c r="I540" s="55"/>
    </row>
    <row r="541">
      <c r="A541" s="67"/>
      <c r="B541" s="73"/>
      <c r="C541" s="74"/>
      <c r="D541" s="75"/>
      <c r="E541" s="76"/>
      <c r="F541" s="75"/>
      <c r="G541" s="62"/>
      <c r="H541" s="63" t="str">
        <f t="shared" si="1"/>
        <v/>
      </c>
      <c r="I541" s="55"/>
    </row>
    <row r="542">
      <c r="A542" s="67"/>
      <c r="B542" s="73"/>
      <c r="C542" s="74"/>
      <c r="D542" s="75"/>
      <c r="E542" s="76"/>
      <c r="F542" s="75"/>
      <c r="G542" s="62"/>
      <c r="H542" s="63" t="str">
        <f t="shared" si="1"/>
        <v/>
      </c>
      <c r="I542" s="55"/>
    </row>
    <row r="543">
      <c r="A543" s="67"/>
      <c r="B543" s="73"/>
      <c r="C543" s="74"/>
      <c r="D543" s="75"/>
      <c r="E543" s="76"/>
      <c r="F543" s="75"/>
      <c r="G543" s="62"/>
      <c r="H543" s="63" t="str">
        <f t="shared" si="1"/>
        <v/>
      </c>
      <c r="I543" s="55"/>
    </row>
    <row r="544">
      <c r="A544" s="67"/>
      <c r="B544" s="73"/>
      <c r="C544" s="74"/>
      <c r="D544" s="75"/>
      <c r="E544" s="76"/>
      <c r="F544" s="75"/>
      <c r="G544" s="62"/>
      <c r="H544" s="63" t="str">
        <f t="shared" si="1"/>
        <v/>
      </c>
      <c r="I544" s="55"/>
    </row>
    <row r="545">
      <c r="A545" s="67"/>
      <c r="B545" s="73"/>
      <c r="C545" s="74"/>
      <c r="D545" s="75"/>
      <c r="E545" s="76"/>
      <c r="F545" s="75"/>
      <c r="G545" s="62"/>
      <c r="H545" s="63" t="str">
        <f t="shared" si="1"/>
        <v/>
      </c>
      <c r="I545" s="55"/>
    </row>
    <row r="546">
      <c r="A546" s="67"/>
      <c r="B546" s="73"/>
      <c r="C546" s="74"/>
      <c r="D546" s="75"/>
      <c r="E546" s="76"/>
      <c r="F546" s="75"/>
      <c r="G546" s="62"/>
      <c r="H546" s="63" t="str">
        <f t="shared" si="1"/>
        <v/>
      </c>
      <c r="I546" s="55"/>
    </row>
    <row r="547">
      <c r="A547" s="67"/>
      <c r="B547" s="73"/>
      <c r="C547" s="74"/>
      <c r="D547" s="75"/>
      <c r="E547" s="76"/>
      <c r="F547" s="75"/>
      <c r="G547" s="62"/>
      <c r="H547" s="63" t="str">
        <f t="shared" si="1"/>
        <v/>
      </c>
      <c r="I547" s="55"/>
    </row>
    <row r="548">
      <c r="A548" s="67"/>
      <c r="B548" s="73"/>
      <c r="C548" s="74"/>
      <c r="D548" s="75"/>
      <c r="E548" s="76"/>
      <c r="F548" s="75"/>
      <c r="G548" s="62"/>
      <c r="H548" s="63" t="str">
        <f t="shared" si="1"/>
        <v/>
      </c>
      <c r="I548" s="55"/>
    </row>
    <row r="549">
      <c r="A549" s="67"/>
      <c r="B549" s="73"/>
      <c r="C549" s="74"/>
      <c r="D549" s="75"/>
      <c r="E549" s="76"/>
      <c r="F549" s="75"/>
      <c r="G549" s="62"/>
      <c r="H549" s="63" t="str">
        <f t="shared" si="1"/>
        <v/>
      </c>
      <c r="I549" s="55"/>
    </row>
    <row r="550">
      <c r="A550" s="67"/>
      <c r="B550" s="73"/>
      <c r="C550" s="74"/>
      <c r="D550" s="75"/>
      <c r="E550" s="76"/>
      <c r="F550" s="75"/>
      <c r="G550" s="62"/>
      <c r="H550" s="63" t="str">
        <f t="shared" si="1"/>
        <v/>
      </c>
      <c r="I550" s="55"/>
    </row>
    <row r="551">
      <c r="A551" s="67"/>
      <c r="B551" s="73"/>
      <c r="C551" s="74"/>
      <c r="D551" s="75"/>
      <c r="E551" s="76"/>
      <c r="F551" s="75"/>
      <c r="G551" s="62"/>
      <c r="H551" s="63" t="str">
        <f t="shared" si="1"/>
        <v/>
      </c>
      <c r="I551" s="55"/>
    </row>
    <row r="552">
      <c r="A552" s="67"/>
      <c r="B552" s="73"/>
      <c r="C552" s="74"/>
      <c r="D552" s="75"/>
      <c r="E552" s="76"/>
      <c r="F552" s="75"/>
      <c r="G552" s="62"/>
      <c r="H552" s="63" t="str">
        <f t="shared" si="1"/>
        <v/>
      </c>
      <c r="I552" s="55"/>
    </row>
    <row r="553">
      <c r="A553" s="67"/>
      <c r="B553" s="73"/>
      <c r="C553" s="74"/>
      <c r="D553" s="75"/>
      <c r="E553" s="76"/>
      <c r="F553" s="75"/>
      <c r="G553" s="62"/>
      <c r="H553" s="63" t="str">
        <f t="shared" si="1"/>
        <v/>
      </c>
      <c r="I553" s="55"/>
    </row>
    <row r="554">
      <c r="A554" s="67"/>
      <c r="B554" s="73"/>
      <c r="C554" s="74"/>
      <c r="D554" s="75"/>
      <c r="E554" s="76"/>
      <c r="F554" s="75"/>
      <c r="G554" s="62"/>
      <c r="H554" s="63" t="str">
        <f t="shared" si="1"/>
        <v/>
      </c>
      <c r="I554" s="55"/>
    </row>
    <row r="555">
      <c r="A555" s="67"/>
      <c r="B555" s="73"/>
      <c r="C555" s="74"/>
      <c r="D555" s="75"/>
      <c r="E555" s="76"/>
      <c r="F555" s="75"/>
      <c r="G555" s="62"/>
      <c r="H555" s="63" t="str">
        <f t="shared" si="1"/>
        <v/>
      </c>
      <c r="I555" s="55"/>
    </row>
    <row r="556">
      <c r="A556" s="67"/>
      <c r="B556" s="73"/>
      <c r="C556" s="74"/>
      <c r="D556" s="75"/>
      <c r="E556" s="76"/>
      <c r="F556" s="75"/>
      <c r="G556" s="62"/>
      <c r="H556" s="63" t="str">
        <f t="shared" si="1"/>
        <v/>
      </c>
      <c r="I556" s="55"/>
    </row>
    <row r="557">
      <c r="A557" s="67"/>
      <c r="B557" s="73"/>
      <c r="C557" s="74"/>
      <c r="D557" s="75"/>
      <c r="E557" s="76"/>
      <c r="F557" s="75"/>
      <c r="G557" s="62"/>
      <c r="H557" s="63" t="str">
        <f t="shared" si="1"/>
        <v/>
      </c>
      <c r="I557" s="55"/>
    </row>
    <row r="558">
      <c r="A558" s="67"/>
      <c r="B558" s="73"/>
      <c r="C558" s="74"/>
      <c r="D558" s="75"/>
      <c r="E558" s="76"/>
      <c r="F558" s="75"/>
      <c r="G558" s="62"/>
      <c r="H558" s="63" t="str">
        <f t="shared" si="1"/>
        <v/>
      </c>
      <c r="I558" s="55"/>
    </row>
    <row r="559">
      <c r="A559" s="67"/>
      <c r="B559" s="73"/>
      <c r="C559" s="74"/>
      <c r="D559" s="75"/>
      <c r="E559" s="76"/>
      <c r="F559" s="75"/>
      <c r="G559" s="62"/>
      <c r="H559" s="63" t="str">
        <f t="shared" si="1"/>
        <v/>
      </c>
      <c r="I559" s="55"/>
    </row>
    <row r="560">
      <c r="A560" s="67"/>
      <c r="B560" s="73"/>
      <c r="C560" s="74"/>
      <c r="D560" s="75"/>
      <c r="E560" s="76"/>
      <c r="F560" s="75"/>
      <c r="G560" s="62"/>
      <c r="H560" s="63" t="str">
        <f t="shared" si="1"/>
        <v/>
      </c>
      <c r="I560" s="55"/>
    </row>
    <row r="561">
      <c r="A561" s="67"/>
      <c r="B561" s="73"/>
      <c r="C561" s="74"/>
      <c r="D561" s="75"/>
      <c r="E561" s="76"/>
      <c r="F561" s="75"/>
      <c r="G561" s="62"/>
      <c r="H561" s="63" t="str">
        <f t="shared" si="1"/>
        <v/>
      </c>
      <c r="I561" s="55"/>
    </row>
    <row r="562">
      <c r="A562" s="67"/>
      <c r="B562" s="73"/>
      <c r="C562" s="74"/>
      <c r="D562" s="75"/>
      <c r="E562" s="76"/>
      <c r="F562" s="75"/>
      <c r="G562" s="62"/>
      <c r="H562" s="63" t="str">
        <f t="shared" si="1"/>
        <v/>
      </c>
      <c r="I562" s="55"/>
    </row>
    <row r="563">
      <c r="A563" s="67"/>
      <c r="B563" s="73"/>
      <c r="C563" s="74"/>
      <c r="D563" s="75"/>
      <c r="E563" s="76"/>
      <c r="F563" s="75"/>
      <c r="G563" s="62"/>
      <c r="H563" s="63" t="str">
        <f t="shared" si="1"/>
        <v/>
      </c>
      <c r="I563" s="55"/>
    </row>
    <row r="564">
      <c r="A564" s="67"/>
      <c r="B564" s="73"/>
      <c r="C564" s="74"/>
      <c r="D564" s="75"/>
      <c r="E564" s="76"/>
      <c r="F564" s="75"/>
      <c r="G564" s="62"/>
      <c r="H564" s="63" t="str">
        <f t="shared" si="1"/>
        <v/>
      </c>
      <c r="I564" s="55"/>
    </row>
    <row r="565">
      <c r="A565" s="67"/>
      <c r="B565" s="73"/>
      <c r="C565" s="74"/>
      <c r="D565" s="75"/>
      <c r="E565" s="76"/>
      <c r="F565" s="75"/>
      <c r="G565" s="62"/>
      <c r="H565" s="63" t="str">
        <f t="shared" si="1"/>
        <v/>
      </c>
      <c r="I565" s="55"/>
    </row>
    <row r="566">
      <c r="A566" s="67"/>
      <c r="B566" s="73"/>
      <c r="C566" s="74"/>
      <c r="D566" s="75"/>
      <c r="E566" s="76"/>
      <c r="F566" s="75"/>
      <c r="G566" s="62"/>
      <c r="H566" s="63" t="str">
        <f t="shared" si="1"/>
        <v/>
      </c>
      <c r="I566" s="55"/>
    </row>
    <row r="567">
      <c r="A567" s="67"/>
      <c r="B567" s="73"/>
      <c r="C567" s="74"/>
      <c r="D567" s="75"/>
      <c r="E567" s="76"/>
      <c r="F567" s="75"/>
      <c r="G567" s="62"/>
      <c r="H567" s="63" t="str">
        <f t="shared" si="1"/>
        <v/>
      </c>
      <c r="I567" s="55"/>
    </row>
    <row r="568">
      <c r="A568" s="67"/>
      <c r="B568" s="73"/>
      <c r="C568" s="74"/>
      <c r="D568" s="75"/>
      <c r="E568" s="76"/>
      <c r="F568" s="75"/>
      <c r="G568" s="62"/>
      <c r="H568" s="63" t="str">
        <f t="shared" si="1"/>
        <v/>
      </c>
      <c r="I568" s="55"/>
    </row>
    <row r="569">
      <c r="A569" s="67"/>
      <c r="B569" s="73"/>
      <c r="C569" s="74"/>
      <c r="D569" s="75"/>
      <c r="E569" s="76"/>
      <c r="F569" s="75"/>
      <c r="G569" s="62"/>
      <c r="H569" s="63" t="str">
        <f t="shared" si="1"/>
        <v/>
      </c>
      <c r="I569" s="55"/>
    </row>
    <row r="570">
      <c r="A570" s="67"/>
      <c r="B570" s="73"/>
      <c r="C570" s="74"/>
      <c r="D570" s="75"/>
      <c r="E570" s="76"/>
      <c r="F570" s="75"/>
      <c r="G570" s="62"/>
      <c r="H570" s="63" t="str">
        <f t="shared" si="1"/>
        <v/>
      </c>
      <c r="I570" s="55"/>
    </row>
    <row r="571">
      <c r="A571" s="67"/>
      <c r="B571" s="73"/>
      <c r="C571" s="74"/>
      <c r="D571" s="75"/>
      <c r="E571" s="76"/>
      <c r="F571" s="75"/>
      <c r="G571" s="62"/>
      <c r="H571" s="63" t="str">
        <f t="shared" si="1"/>
        <v/>
      </c>
      <c r="I571" s="55"/>
    </row>
    <row r="572">
      <c r="A572" s="67"/>
      <c r="B572" s="73"/>
      <c r="C572" s="74"/>
      <c r="D572" s="75"/>
      <c r="E572" s="76"/>
      <c r="F572" s="75"/>
      <c r="G572" s="62"/>
      <c r="H572" s="63" t="str">
        <f t="shared" si="1"/>
        <v/>
      </c>
      <c r="I572" s="55"/>
    </row>
    <row r="573">
      <c r="A573" s="67"/>
      <c r="B573" s="73"/>
      <c r="C573" s="74"/>
      <c r="D573" s="75"/>
      <c r="E573" s="76"/>
      <c r="F573" s="75"/>
      <c r="G573" s="62"/>
      <c r="H573" s="63" t="str">
        <f t="shared" si="1"/>
        <v/>
      </c>
      <c r="I573" s="55"/>
    </row>
    <row r="574">
      <c r="A574" s="67"/>
      <c r="B574" s="73"/>
      <c r="C574" s="74"/>
      <c r="D574" s="75"/>
      <c r="E574" s="76"/>
      <c r="F574" s="75"/>
      <c r="G574" s="62"/>
      <c r="H574" s="63" t="str">
        <f t="shared" si="1"/>
        <v/>
      </c>
      <c r="I574" s="55"/>
    </row>
    <row r="575">
      <c r="A575" s="67"/>
      <c r="B575" s="73"/>
      <c r="C575" s="74"/>
      <c r="D575" s="75"/>
      <c r="E575" s="76"/>
      <c r="F575" s="75"/>
      <c r="G575" s="62"/>
      <c r="H575" s="63" t="str">
        <f t="shared" si="1"/>
        <v/>
      </c>
      <c r="I575" s="55"/>
    </row>
    <row r="576">
      <c r="A576" s="67"/>
      <c r="B576" s="73"/>
      <c r="C576" s="74"/>
      <c r="D576" s="75"/>
      <c r="E576" s="76"/>
      <c r="F576" s="75"/>
      <c r="G576" s="62"/>
      <c r="H576" s="63" t="str">
        <f t="shared" si="1"/>
        <v/>
      </c>
      <c r="I576" s="55"/>
    </row>
    <row r="577">
      <c r="A577" s="67"/>
      <c r="B577" s="73"/>
      <c r="C577" s="74"/>
      <c r="D577" s="75"/>
      <c r="E577" s="76"/>
      <c r="F577" s="75"/>
      <c r="G577" s="62"/>
      <c r="H577" s="63" t="str">
        <f t="shared" si="1"/>
        <v/>
      </c>
      <c r="I577" s="55"/>
    </row>
    <row r="578">
      <c r="A578" s="67"/>
      <c r="B578" s="73"/>
      <c r="C578" s="74"/>
      <c r="D578" s="75"/>
      <c r="E578" s="76"/>
      <c r="F578" s="75"/>
      <c r="G578" s="62"/>
      <c r="H578" s="63" t="str">
        <f t="shared" si="1"/>
        <v/>
      </c>
      <c r="I578" s="55"/>
    </row>
    <row r="579">
      <c r="A579" s="67"/>
      <c r="B579" s="73"/>
      <c r="C579" s="74"/>
      <c r="D579" s="75"/>
      <c r="E579" s="76"/>
      <c r="F579" s="75"/>
      <c r="G579" s="62"/>
      <c r="H579" s="63" t="str">
        <f t="shared" si="1"/>
        <v/>
      </c>
      <c r="I579" s="55"/>
    </row>
    <row r="580">
      <c r="A580" s="67"/>
      <c r="B580" s="73"/>
      <c r="C580" s="74"/>
      <c r="D580" s="75"/>
      <c r="E580" s="76"/>
      <c r="F580" s="75"/>
      <c r="G580" s="62"/>
      <c r="H580" s="63" t="str">
        <f t="shared" si="1"/>
        <v/>
      </c>
      <c r="I580" s="55"/>
    </row>
    <row r="581">
      <c r="A581" s="67"/>
      <c r="B581" s="73"/>
      <c r="C581" s="74"/>
      <c r="D581" s="75"/>
      <c r="E581" s="76"/>
      <c r="F581" s="75"/>
      <c r="G581" s="62"/>
      <c r="H581" s="63" t="str">
        <f t="shared" si="1"/>
        <v/>
      </c>
      <c r="I581" s="55"/>
    </row>
    <row r="582">
      <c r="A582" s="67"/>
      <c r="B582" s="73"/>
      <c r="C582" s="74"/>
      <c r="D582" s="75"/>
      <c r="E582" s="76"/>
      <c r="F582" s="75"/>
      <c r="G582" s="62"/>
      <c r="H582" s="63" t="str">
        <f t="shared" si="1"/>
        <v/>
      </c>
      <c r="I582" s="55"/>
    </row>
    <row r="583">
      <c r="A583" s="67"/>
      <c r="B583" s="73"/>
      <c r="C583" s="74"/>
      <c r="D583" s="75"/>
      <c r="E583" s="76"/>
      <c r="F583" s="75"/>
      <c r="G583" s="62"/>
      <c r="H583" s="63" t="str">
        <f t="shared" si="1"/>
        <v/>
      </c>
      <c r="I583" s="55"/>
    </row>
    <row r="584">
      <c r="A584" s="67"/>
      <c r="B584" s="73"/>
      <c r="C584" s="74"/>
      <c r="D584" s="75"/>
      <c r="E584" s="76"/>
      <c r="F584" s="75"/>
      <c r="G584" s="62"/>
      <c r="H584" s="63" t="str">
        <f t="shared" si="1"/>
        <v/>
      </c>
      <c r="I584" s="55"/>
    </row>
    <row r="585">
      <c r="A585" s="67"/>
      <c r="B585" s="73"/>
      <c r="C585" s="74"/>
      <c r="D585" s="75"/>
      <c r="E585" s="76"/>
      <c r="F585" s="75"/>
      <c r="G585" s="62"/>
      <c r="H585" s="63" t="str">
        <f t="shared" si="1"/>
        <v/>
      </c>
      <c r="I585" s="55"/>
    </row>
    <row r="586">
      <c r="A586" s="67"/>
      <c r="B586" s="73"/>
      <c r="C586" s="74"/>
      <c r="D586" s="75"/>
      <c r="E586" s="76"/>
      <c r="F586" s="75"/>
      <c r="G586" s="62"/>
      <c r="H586" s="63" t="str">
        <f t="shared" si="1"/>
        <v/>
      </c>
      <c r="I586" s="55"/>
    </row>
    <row r="587">
      <c r="A587" s="67"/>
      <c r="B587" s="73"/>
      <c r="C587" s="74"/>
      <c r="D587" s="75"/>
      <c r="E587" s="76"/>
      <c r="F587" s="75"/>
      <c r="G587" s="62"/>
      <c r="H587" s="63" t="str">
        <f t="shared" si="1"/>
        <v/>
      </c>
      <c r="I587" s="55"/>
    </row>
    <row r="588">
      <c r="A588" s="67"/>
      <c r="B588" s="73"/>
      <c r="C588" s="74"/>
      <c r="D588" s="75"/>
      <c r="E588" s="76"/>
      <c r="F588" s="75"/>
      <c r="G588" s="62"/>
      <c r="H588" s="63" t="str">
        <f t="shared" si="1"/>
        <v/>
      </c>
      <c r="I588" s="55"/>
    </row>
    <row r="589">
      <c r="A589" s="67"/>
      <c r="B589" s="73"/>
      <c r="C589" s="74"/>
      <c r="D589" s="75"/>
      <c r="E589" s="76"/>
      <c r="F589" s="75"/>
      <c r="G589" s="62"/>
      <c r="H589" s="63" t="str">
        <f t="shared" si="1"/>
        <v/>
      </c>
      <c r="I589" s="55"/>
    </row>
    <row r="590">
      <c r="A590" s="67"/>
      <c r="B590" s="73"/>
      <c r="C590" s="74"/>
      <c r="D590" s="75"/>
      <c r="E590" s="76"/>
      <c r="F590" s="75"/>
      <c r="G590" s="62"/>
      <c r="H590" s="63" t="str">
        <f t="shared" si="1"/>
        <v/>
      </c>
      <c r="I590" s="55"/>
    </row>
    <row r="591">
      <c r="A591" s="67"/>
      <c r="B591" s="73"/>
      <c r="C591" s="74"/>
      <c r="D591" s="75"/>
      <c r="E591" s="76"/>
      <c r="F591" s="75"/>
      <c r="G591" s="62"/>
      <c r="H591" s="63" t="str">
        <f t="shared" si="1"/>
        <v/>
      </c>
      <c r="I591" s="55"/>
    </row>
    <row r="592">
      <c r="A592" s="67"/>
      <c r="B592" s="73"/>
      <c r="C592" s="74"/>
      <c r="D592" s="75"/>
      <c r="E592" s="76"/>
      <c r="F592" s="75"/>
      <c r="G592" s="62"/>
      <c r="H592" s="63" t="str">
        <f t="shared" si="1"/>
        <v/>
      </c>
      <c r="I592" s="55"/>
    </row>
    <row r="593">
      <c r="A593" s="67"/>
      <c r="B593" s="73"/>
      <c r="C593" s="74"/>
      <c r="D593" s="75"/>
      <c r="E593" s="76"/>
      <c r="F593" s="75"/>
      <c r="G593" s="62"/>
      <c r="H593" s="63" t="str">
        <f t="shared" si="1"/>
        <v/>
      </c>
      <c r="I593" s="55"/>
    </row>
    <row r="594">
      <c r="A594" s="67"/>
      <c r="B594" s="73"/>
      <c r="C594" s="74"/>
      <c r="D594" s="75"/>
      <c r="E594" s="76"/>
      <c r="F594" s="75"/>
      <c r="G594" s="62"/>
      <c r="H594" s="63" t="str">
        <f t="shared" si="1"/>
        <v/>
      </c>
      <c r="I594" s="55"/>
    </row>
    <row r="595">
      <c r="A595" s="67"/>
      <c r="B595" s="73"/>
      <c r="C595" s="74"/>
      <c r="D595" s="75"/>
      <c r="E595" s="76"/>
      <c r="F595" s="75"/>
      <c r="G595" s="62"/>
      <c r="H595" s="63" t="str">
        <f t="shared" si="1"/>
        <v/>
      </c>
      <c r="I595" s="55"/>
    </row>
    <row r="596">
      <c r="A596" s="67"/>
      <c r="B596" s="73"/>
      <c r="C596" s="74"/>
      <c r="D596" s="75"/>
      <c r="E596" s="76"/>
      <c r="F596" s="75"/>
      <c r="G596" s="62"/>
      <c r="H596" s="63" t="str">
        <f t="shared" si="1"/>
        <v/>
      </c>
      <c r="I596" s="55"/>
    </row>
    <row r="597">
      <c r="A597" s="67"/>
      <c r="B597" s="73"/>
      <c r="C597" s="74"/>
      <c r="D597" s="75"/>
      <c r="E597" s="76"/>
      <c r="F597" s="75"/>
      <c r="G597" s="62"/>
      <c r="H597" s="63" t="str">
        <f t="shared" si="1"/>
        <v/>
      </c>
      <c r="I597" s="55"/>
    </row>
    <row r="598">
      <c r="A598" s="67"/>
      <c r="B598" s="73"/>
      <c r="C598" s="74"/>
      <c r="D598" s="75"/>
      <c r="E598" s="76"/>
      <c r="F598" s="75"/>
      <c r="G598" s="62"/>
      <c r="H598" s="63" t="str">
        <f t="shared" si="1"/>
        <v/>
      </c>
      <c r="I598" s="55"/>
    </row>
    <row r="599">
      <c r="A599" s="67"/>
      <c r="B599" s="73"/>
      <c r="C599" s="74"/>
      <c r="D599" s="75"/>
      <c r="E599" s="76"/>
      <c r="F599" s="75"/>
      <c r="G599" s="62"/>
      <c r="H599" s="63" t="str">
        <f t="shared" si="1"/>
        <v/>
      </c>
      <c r="I599" s="55"/>
    </row>
    <row r="600">
      <c r="A600" s="67"/>
      <c r="B600" s="73"/>
      <c r="C600" s="74"/>
      <c r="D600" s="75"/>
      <c r="E600" s="76"/>
      <c r="F600" s="75"/>
      <c r="G600" s="62"/>
      <c r="H600" s="63" t="str">
        <f t="shared" si="1"/>
        <v/>
      </c>
      <c r="I600" s="55"/>
    </row>
    <row r="601">
      <c r="A601" s="67"/>
      <c r="B601" s="73"/>
      <c r="C601" s="74"/>
      <c r="D601" s="75"/>
      <c r="E601" s="76"/>
      <c r="F601" s="75"/>
      <c r="G601" s="62"/>
      <c r="H601" s="63" t="str">
        <f t="shared" si="1"/>
        <v/>
      </c>
      <c r="I601" s="55"/>
    </row>
    <row r="602">
      <c r="A602" s="67"/>
      <c r="B602" s="73"/>
      <c r="C602" s="74"/>
      <c r="D602" s="75"/>
      <c r="E602" s="76"/>
      <c r="F602" s="75"/>
      <c r="G602" s="62"/>
      <c r="H602" s="63" t="str">
        <f t="shared" si="1"/>
        <v/>
      </c>
      <c r="I602" s="55"/>
    </row>
    <row r="603">
      <c r="A603" s="67"/>
      <c r="B603" s="73"/>
      <c r="C603" s="74"/>
      <c r="D603" s="75"/>
      <c r="E603" s="76"/>
      <c r="F603" s="75"/>
      <c r="G603" s="62"/>
      <c r="H603" s="63" t="str">
        <f t="shared" si="1"/>
        <v/>
      </c>
      <c r="I603" s="55"/>
    </row>
    <row r="604">
      <c r="A604" s="67"/>
      <c r="B604" s="73"/>
      <c r="C604" s="74"/>
      <c r="D604" s="75"/>
      <c r="E604" s="76"/>
      <c r="F604" s="75"/>
      <c r="G604" s="62"/>
      <c r="H604" s="63" t="str">
        <f t="shared" si="1"/>
        <v/>
      </c>
      <c r="I604" s="55"/>
    </row>
    <row r="605">
      <c r="A605" s="67"/>
      <c r="B605" s="73"/>
      <c r="C605" s="74"/>
      <c r="D605" s="75"/>
      <c r="E605" s="76"/>
      <c r="F605" s="75"/>
      <c r="G605" s="62"/>
      <c r="H605" s="63" t="str">
        <f t="shared" si="1"/>
        <v/>
      </c>
      <c r="I605" s="55"/>
    </row>
    <row r="606">
      <c r="A606" s="67"/>
      <c r="B606" s="73"/>
      <c r="C606" s="74"/>
      <c r="D606" s="75"/>
      <c r="E606" s="76"/>
      <c r="F606" s="75"/>
      <c r="G606" s="62"/>
      <c r="H606" s="63" t="str">
        <f t="shared" si="1"/>
        <v/>
      </c>
      <c r="I606" s="55"/>
    </row>
    <row r="607">
      <c r="A607" s="67"/>
      <c r="B607" s="73"/>
      <c r="C607" s="74"/>
      <c r="D607" s="75"/>
      <c r="E607" s="76"/>
      <c r="F607" s="75"/>
      <c r="G607" s="62"/>
      <c r="H607" s="63" t="str">
        <f t="shared" si="1"/>
        <v/>
      </c>
      <c r="I607" s="55"/>
    </row>
    <row r="608">
      <c r="A608" s="67"/>
      <c r="B608" s="73"/>
      <c r="C608" s="74"/>
      <c r="D608" s="75"/>
      <c r="E608" s="76"/>
      <c r="F608" s="75"/>
      <c r="G608" s="62"/>
      <c r="H608" s="63" t="str">
        <f t="shared" si="1"/>
        <v/>
      </c>
      <c r="I608" s="55"/>
    </row>
    <row r="609">
      <c r="A609" s="67"/>
      <c r="B609" s="73"/>
      <c r="C609" s="74"/>
      <c r="D609" s="75"/>
      <c r="E609" s="76"/>
      <c r="F609" s="75"/>
      <c r="G609" s="62"/>
      <c r="H609" s="63" t="str">
        <f t="shared" si="1"/>
        <v/>
      </c>
      <c r="I609" s="55"/>
    </row>
    <row r="610">
      <c r="A610" s="67"/>
      <c r="B610" s="73"/>
      <c r="C610" s="74"/>
      <c r="D610" s="75"/>
      <c r="E610" s="76"/>
      <c r="F610" s="75"/>
      <c r="G610" s="62"/>
      <c r="H610" s="63" t="str">
        <f t="shared" si="1"/>
        <v/>
      </c>
      <c r="I610" s="55"/>
    </row>
    <row r="611">
      <c r="A611" s="67"/>
      <c r="B611" s="73"/>
      <c r="C611" s="74"/>
      <c r="D611" s="75"/>
      <c r="E611" s="76"/>
      <c r="F611" s="75"/>
      <c r="G611" s="62"/>
      <c r="H611" s="63" t="str">
        <f t="shared" si="1"/>
        <v/>
      </c>
      <c r="I611" s="55"/>
    </row>
    <row r="612">
      <c r="A612" s="67"/>
      <c r="B612" s="73"/>
      <c r="C612" s="74"/>
      <c r="D612" s="75"/>
      <c r="E612" s="76"/>
      <c r="F612" s="75"/>
      <c r="G612" s="62"/>
      <c r="H612" s="63" t="str">
        <f t="shared" si="1"/>
        <v/>
      </c>
      <c r="I612" s="55"/>
    </row>
    <row r="613">
      <c r="A613" s="67"/>
      <c r="B613" s="73"/>
      <c r="C613" s="74"/>
      <c r="D613" s="75"/>
      <c r="E613" s="76"/>
      <c r="F613" s="75"/>
      <c r="G613" s="62"/>
      <c r="H613" s="63" t="str">
        <f t="shared" si="1"/>
        <v/>
      </c>
      <c r="I613" s="55"/>
    </row>
    <row r="614">
      <c r="A614" s="67"/>
      <c r="B614" s="73"/>
      <c r="C614" s="74"/>
      <c r="D614" s="75"/>
      <c r="E614" s="76"/>
      <c r="F614" s="75"/>
      <c r="G614" s="62"/>
      <c r="H614" s="63" t="str">
        <f t="shared" si="1"/>
        <v/>
      </c>
      <c r="I614" s="55"/>
    </row>
    <row r="615">
      <c r="A615" s="67"/>
      <c r="B615" s="73"/>
      <c r="C615" s="74"/>
      <c r="D615" s="75"/>
      <c r="E615" s="76"/>
      <c r="F615" s="75"/>
      <c r="G615" s="62"/>
      <c r="H615" s="63" t="str">
        <f t="shared" si="1"/>
        <v/>
      </c>
      <c r="I615" s="55"/>
    </row>
    <row r="616">
      <c r="A616" s="67"/>
      <c r="B616" s="73"/>
      <c r="C616" s="74"/>
      <c r="D616" s="75"/>
      <c r="E616" s="76"/>
      <c r="F616" s="75"/>
      <c r="G616" s="62"/>
      <c r="H616" s="63" t="str">
        <f t="shared" si="1"/>
        <v/>
      </c>
      <c r="I616" s="55"/>
    </row>
    <row r="617">
      <c r="A617" s="67"/>
      <c r="B617" s="73"/>
      <c r="C617" s="74"/>
      <c r="D617" s="75"/>
      <c r="E617" s="76"/>
      <c r="F617" s="75"/>
      <c r="G617" s="62"/>
      <c r="H617" s="63" t="str">
        <f t="shared" si="1"/>
        <v/>
      </c>
      <c r="I617" s="55"/>
    </row>
    <row r="618">
      <c r="A618" s="67"/>
      <c r="B618" s="73"/>
      <c r="C618" s="74"/>
      <c r="D618" s="75"/>
      <c r="E618" s="76"/>
      <c r="F618" s="75"/>
      <c r="G618" s="62"/>
      <c r="H618" s="63" t="str">
        <f t="shared" si="1"/>
        <v/>
      </c>
      <c r="I618" s="55"/>
    </row>
    <row r="619">
      <c r="A619" s="67"/>
      <c r="B619" s="73"/>
      <c r="C619" s="74"/>
      <c r="D619" s="75"/>
      <c r="E619" s="76"/>
      <c r="F619" s="75"/>
      <c r="G619" s="62"/>
      <c r="H619" s="63" t="str">
        <f t="shared" si="1"/>
        <v/>
      </c>
      <c r="I619" s="55"/>
    </row>
    <row r="620">
      <c r="A620" s="67"/>
      <c r="B620" s="73"/>
      <c r="C620" s="74"/>
      <c r="D620" s="75"/>
      <c r="E620" s="76"/>
      <c r="F620" s="75"/>
      <c r="G620" s="62"/>
      <c r="H620" s="63" t="str">
        <f t="shared" si="1"/>
        <v/>
      </c>
      <c r="I620" s="55"/>
    </row>
    <row r="621">
      <c r="A621" s="67"/>
      <c r="B621" s="73"/>
      <c r="C621" s="74"/>
      <c r="D621" s="75"/>
      <c r="E621" s="76"/>
      <c r="F621" s="75"/>
      <c r="G621" s="62"/>
      <c r="H621" s="63" t="str">
        <f t="shared" si="1"/>
        <v/>
      </c>
      <c r="I621" s="55"/>
    </row>
    <row r="622">
      <c r="A622" s="67"/>
      <c r="B622" s="73"/>
      <c r="C622" s="74"/>
      <c r="D622" s="75"/>
      <c r="E622" s="76"/>
      <c r="F622" s="75"/>
      <c r="G622" s="62"/>
      <c r="H622" s="63" t="str">
        <f t="shared" si="1"/>
        <v/>
      </c>
      <c r="I622" s="55"/>
    </row>
    <row r="623">
      <c r="A623" s="67"/>
      <c r="B623" s="73"/>
      <c r="C623" s="74"/>
      <c r="D623" s="75"/>
      <c r="E623" s="76"/>
      <c r="F623" s="75"/>
      <c r="G623" s="62"/>
      <c r="H623" s="63" t="str">
        <f t="shared" si="1"/>
        <v/>
      </c>
      <c r="I623" s="55"/>
    </row>
    <row r="624">
      <c r="A624" s="67"/>
      <c r="B624" s="73"/>
      <c r="C624" s="74"/>
      <c r="D624" s="75"/>
      <c r="E624" s="76"/>
      <c r="F624" s="75"/>
      <c r="G624" s="62"/>
      <c r="H624" s="63" t="str">
        <f t="shared" si="1"/>
        <v/>
      </c>
      <c r="I624" s="55"/>
    </row>
    <row r="625">
      <c r="A625" s="67"/>
      <c r="B625" s="73"/>
      <c r="C625" s="74"/>
      <c r="D625" s="75"/>
      <c r="E625" s="76"/>
      <c r="F625" s="75"/>
      <c r="G625" s="62"/>
      <c r="H625" s="63" t="str">
        <f t="shared" si="1"/>
        <v/>
      </c>
      <c r="I625" s="55"/>
    </row>
    <row r="626">
      <c r="A626" s="67"/>
      <c r="B626" s="73"/>
      <c r="C626" s="74"/>
      <c r="D626" s="75"/>
      <c r="E626" s="76"/>
      <c r="F626" s="75"/>
      <c r="G626" s="62"/>
      <c r="H626" s="63" t="str">
        <f t="shared" si="1"/>
        <v/>
      </c>
      <c r="I626" s="55"/>
    </row>
    <row r="627">
      <c r="A627" s="67"/>
      <c r="B627" s="73"/>
      <c r="C627" s="74"/>
      <c r="D627" s="75"/>
      <c r="E627" s="76"/>
      <c r="F627" s="75"/>
      <c r="G627" s="62"/>
      <c r="H627" s="63" t="str">
        <f t="shared" si="1"/>
        <v/>
      </c>
      <c r="I627" s="55"/>
    </row>
    <row r="628">
      <c r="A628" s="67"/>
      <c r="B628" s="73"/>
      <c r="C628" s="74"/>
      <c r="D628" s="75"/>
      <c r="E628" s="76"/>
      <c r="F628" s="75"/>
      <c r="G628" s="62"/>
      <c r="H628" s="63" t="str">
        <f t="shared" si="1"/>
        <v/>
      </c>
      <c r="I628" s="55"/>
    </row>
    <row r="629">
      <c r="A629" s="67"/>
      <c r="B629" s="73"/>
      <c r="C629" s="74"/>
      <c r="D629" s="75"/>
      <c r="E629" s="76"/>
      <c r="F629" s="75"/>
      <c r="G629" s="62"/>
      <c r="H629" s="63" t="str">
        <f t="shared" si="1"/>
        <v/>
      </c>
      <c r="I629" s="55"/>
    </row>
    <row r="630">
      <c r="A630" s="67"/>
      <c r="B630" s="73"/>
      <c r="C630" s="74"/>
      <c r="D630" s="75"/>
      <c r="E630" s="76"/>
      <c r="F630" s="75"/>
      <c r="G630" s="62"/>
      <c r="H630" s="63" t="str">
        <f t="shared" si="1"/>
        <v/>
      </c>
      <c r="I630" s="55"/>
    </row>
    <row r="631">
      <c r="A631" s="67"/>
      <c r="B631" s="73"/>
      <c r="C631" s="74"/>
      <c r="D631" s="75"/>
      <c r="E631" s="76"/>
      <c r="F631" s="75"/>
      <c r="G631" s="62"/>
      <c r="H631" s="63" t="str">
        <f t="shared" si="1"/>
        <v/>
      </c>
      <c r="I631" s="55"/>
    </row>
    <row r="632">
      <c r="A632" s="67"/>
      <c r="B632" s="73"/>
      <c r="C632" s="74"/>
      <c r="D632" s="75"/>
      <c r="E632" s="76"/>
      <c r="F632" s="75"/>
      <c r="G632" s="62"/>
      <c r="H632" s="63" t="str">
        <f t="shared" si="1"/>
        <v/>
      </c>
      <c r="I632" s="55"/>
    </row>
    <row r="633">
      <c r="A633" s="67"/>
      <c r="B633" s="73"/>
      <c r="C633" s="74"/>
      <c r="D633" s="75"/>
      <c r="E633" s="76"/>
      <c r="F633" s="75"/>
      <c r="G633" s="62"/>
      <c r="H633" s="63" t="str">
        <f t="shared" si="1"/>
        <v/>
      </c>
      <c r="I633" s="55"/>
    </row>
    <row r="634">
      <c r="A634" s="67"/>
      <c r="B634" s="73"/>
      <c r="C634" s="74"/>
      <c r="D634" s="75"/>
      <c r="E634" s="76"/>
      <c r="F634" s="75"/>
      <c r="G634" s="62"/>
      <c r="H634" s="63" t="str">
        <f t="shared" si="1"/>
        <v/>
      </c>
      <c r="I634" s="55"/>
    </row>
    <row r="635">
      <c r="A635" s="67"/>
      <c r="B635" s="73"/>
      <c r="C635" s="74"/>
      <c r="D635" s="75"/>
      <c r="E635" s="76"/>
      <c r="F635" s="75"/>
      <c r="G635" s="62"/>
      <c r="H635" s="63" t="str">
        <f t="shared" si="1"/>
        <v/>
      </c>
      <c r="I635" s="55"/>
    </row>
    <row r="636">
      <c r="A636" s="67"/>
      <c r="B636" s="73"/>
      <c r="C636" s="74"/>
      <c r="D636" s="75"/>
      <c r="E636" s="76"/>
      <c r="F636" s="75"/>
      <c r="G636" s="62"/>
      <c r="H636" s="63" t="str">
        <f t="shared" si="1"/>
        <v/>
      </c>
      <c r="I636" s="55"/>
    </row>
    <row r="637">
      <c r="A637" s="67"/>
      <c r="B637" s="73"/>
      <c r="C637" s="74"/>
      <c r="D637" s="75"/>
      <c r="E637" s="76"/>
      <c r="F637" s="75"/>
      <c r="G637" s="62"/>
      <c r="H637" s="63" t="str">
        <f t="shared" si="1"/>
        <v/>
      </c>
      <c r="I637" s="55"/>
    </row>
    <row r="638">
      <c r="A638" s="67"/>
      <c r="B638" s="73"/>
      <c r="C638" s="74"/>
      <c r="D638" s="75"/>
      <c r="E638" s="76"/>
      <c r="F638" s="75"/>
      <c r="G638" s="62"/>
      <c r="H638" s="63" t="str">
        <f t="shared" si="1"/>
        <v/>
      </c>
      <c r="I638" s="55"/>
    </row>
    <row r="639">
      <c r="A639" s="67"/>
      <c r="B639" s="73"/>
      <c r="C639" s="74"/>
      <c r="D639" s="75"/>
      <c r="E639" s="76"/>
      <c r="F639" s="75"/>
      <c r="G639" s="62"/>
      <c r="H639" s="63" t="str">
        <f t="shared" si="1"/>
        <v/>
      </c>
      <c r="I639" s="55"/>
    </row>
    <row r="640">
      <c r="A640" s="67"/>
      <c r="B640" s="73"/>
      <c r="C640" s="74"/>
      <c r="D640" s="75"/>
      <c r="E640" s="76"/>
      <c r="F640" s="75"/>
      <c r="G640" s="62"/>
      <c r="H640" s="63" t="str">
        <f t="shared" si="1"/>
        <v/>
      </c>
      <c r="I640" s="55"/>
    </row>
    <row r="641">
      <c r="A641" s="67"/>
      <c r="B641" s="73"/>
      <c r="C641" s="74"/>
      <c r="D641" s="75"/>
      <c r="E641" s="76"/>
      <c r="F641" s="75"/>
      <c r="G641" s="62"/>
      <c r="H641" s="63" t="str">
        <f t="shared" si="1"/>
        <v/>
      </c>
      <c r="I641" s="55"/>
    </row>
    <row r="642">
      <c r="A642" s="67"/>
      <c r="B642" s="73"/>
      <c r="C642" s="74"/>
      <c r="D642" s="75"/>
      <c r="E642" s="76"/>
      <c r="F642" s="75"/>
      <c r="G642" s="62"/>
      <c r="H642" s="63" t="str">
        <f t="shared" si="1"/>
        <v/>
      </c>
      <c r="I642" s="55"/>
    </row>
    <row r="643">
      <c r="A643" s="67"/>
      <c r="B643" s="73"/>
      <c r="C643" s="74"/>
      <c r="D643" s="75"/>
      <c r="E643" s="76"/>
      <c r="F643" s="75"/>
      <c r="G643" s="62"/>
      <c r="H643" s="63" t="str">
        <f t="shared" si="1"/>
        <v/>
      </c>
      <c r="I643" s="55"/>
    </row>
    <row r="644">
      <c r="A644" s="67"/>
      <c r="B644" s="73"/>
      <c r="C644" s="74"/>
      <c r="D644" s="75"/>
      <c r="E644" s="76"/>
      <c r="F644" s="75"/>
      <c r="G644" s="62"/>
      <c r="H644" s="63" t="str">
        <f t="shared" si="1"/>
        <v/>
      </c>
      <c r="I644" s="55"/>
    </row>
    <row r="645">
      <c r="A645" s="67"/>
      <c r="B645" s="73"/>
      <c r="C645" s="74"/>
      <c r="D645" s="75"/>
      <c r="E645" s="76"/>
      <c r="F645" s="75"/>
      <c r="G645" s="62"/>
      <c r="H645" s="63" t="str">
        <f t="shared" si="1"/>
        <v/>
      </c>
      <c r="I645" s="55"/>
    </row>
    <row r="646">
      <c r="A646" s="67"/>
      <c r="B646" s="73"/>
      <c r="C646" s="74"/>
      <c r="D646" s="75"/>
      <c r="E646" s="76"/>
      <c r="F646" s="75"/>
      <c r="G646" s="62"/>
      <c r="H646" s="63" t="str">
        <f t="shared" si="1"/>
        <v/>
      </c>
      <c r="I646" s="55"/>
    </row>
    <row r="647">
      <c r="A647" s="67"/>
      <c r="B647" s="73"/>
      <c r="C647" s="74"/>
      <c r="D647" s="75"/>
      <c r="E647" s="76"/>
      <c r="F647" s="75"/>
      <c r="G647" s="62"/>
      <c r="H647" s="63" t="str">
        <f t="shared" si="1"/>
        <v/>
      </c>
      <c r="I647" s="55"/>
    </row>
    <row r="648">
      <c r="A648" s="67"/>
      <c r="B648" s="73"/>
      <c r="C648" s="74"/>
      <c r="D648" s="75"/>
      <c r="E648" s="76"/>
      <c r="F648" s="75"/>
      <c r="G648" s="62"/>
      <c r="H648" s="63" t="str">
        <f t="shared" si="1"/>
        <v/>
      </c>
      <c r="I648" s="55"/>
    </row>
    <row r="649">
      <c r="A649" s="67"/>
      <c r="B649" s="73"/>
      <c r="C649" s="74"/>
      <c r="D649" s="75"/>
      <c r="E649" s="76"/>
      <c r="F649" s="75"/>
      <c r="G649" s="62"/>
      <c r="H649" s="63" t="str">
        <f t="shared" si="1"/>
        <v/>
      </c>
      <c r="I649" s="55"/>
    </row>
    <row r="650">
      <c r="A650" s="67"/>
      <c r="B650" s="73"/>
      <c r="C650" s="74"/>
      <c r="D650" s="75"/>
      <c r="E650" s="76"/>
      <c r="F650" s="75"/>
      <c r="G650" s="62"/>
      <c r="H650" s="63" t="str">
        <f t="shared" si="1"/>
        <v/>
      </c>
      <c r="I650" s="55"/>
    </row>
    <row r="651">
      <c r="A651" s="67"/>
      <c r="B651" s="73"/>
      <c r="C651" s="74"/>
      <c r="D651" s="75"/>
      <c r="E651" s="76"/>
      <c r="F651" s="75"/>
      <c r="G651" s="62"/>
      <c r="H651" s="63" t="str">
        <f t="shared" si="1"/>
        <v/>
      </c>
      <c r="I651" s="55"/>
    </row>
    <row r="652">
      <c r="A652" s="67"/>
      <c r="B652" s="73"/>
      <c r="C652" s="74"/>
      <c r="D652" s="75"/>
      <c r="E652" s="76"/>
      <c r="F652" s="75"/>
      <c r="G652" s="62"/>
      <c r="H652" s="63" t="str">
        <f t="shared" si="1"/>
        <v/>
      </c>
      <c r="I652" s="55"/>
    </row>
    <row r="653">
      <c r="A653" s="67"/>
      <c r="B653" s="73"/>
      <c r="C653" s="74"/>
      <c r="D653" s="75"/>
      <c r="E653" s="76"/>
      <c r="F653" s="75"/>
      <c r="G653" s="62"/>
      <c r="H653" s="63" t="str">
        <f t="shared" si="1"/>
        <v/>
      </c>
      <c r="I653" s="55"/>
    </row>
    <row r="654">
      <c r="A654" s="67"/>
      <c r="B654" s="73"/>
      <c r="C654" s="74"/>
      <c r="D654" s="75"/>
      <c r="E654" s="76"/>
      <c r="F654" s="75"/>
      <c r="G654" s="62"/>
      <c r="H654" s="63" t="str">
        <f t="shared" si="1"/>
        <v/>
      </c>
      <c r="I654" s="55"/>
    </row>
    <row r="655">
      <c r="A655" s="67"/>
      <c r="B655" s="73"/>
      <c r="C655" s="74"/>
      <c r="D655" s="75"/>
      <c r="E655" s="76"/>
      <c r="F655" s="75"/>
      <c r="G655" s="62"/>
      <c r="H655" s="63" t="str">
        <f t="shared" si="1"/>
        <v/>
      </c>
      <c r="I655" s="55"/>
    </row>
    <row r="656">
      <c r="A656" s="67"/>
      <c r="B656" s="73"/>
      <c r="C656" s="74"/>
      <c r="D656" s="75"/>
      <c r="E656" s="76"/>
      <c r="F656" s="75"/>
      <c r="G656" s="62"/>
      <c r="H656" s="63" t="str">
        <f t="shared" si="1"/>
        <v/>
      </c>
      <c r="I656" s="55"/>
    </row>
    <row r="657">
      <c r="A657" s="67"/>
      <c r="B657" s="73"/>
      <c r="C657" s="74"/>
      <c r="D657" s="75"/>
      <c r="E657" s="76"/>
      <c r="F657" s="75"/>
      <c r="G657" s="62"/>
      <c r="H657" s="63" t="str">
        <f t="shared" si="1"/>
        <v/>
      </c>
      <c r="I657" s="55"/>
    </row>
    <row r="658">
      <c r="A658" s="67"/>
      <c r="B658" s="73"/>
      <c r="C658" s="74"/>
      <c r="D658" s="75"/>
      <c r="E658" s="76"/>
      <c r="F658" s="75"/>
      <c r="G658" s="62"/>
      <c r="H658" s="63" t="str">
        <f t="shared" si="1"/>
        <v/>
      </c>
      <c r="I658" s="55"/>
    </row>
    <row r="659">
      <c r="A659" s="67"/>
      <c r="B659" s="73"/>
      <c r="C659" s="74"/>
      <c r="D659" s="75"/>
      <c r="E659" s="76"/>
      <c r="F659" s="75"/>
      <c r="G659" s="62"/>
      <c r="H659" s="63" t="str">
        <f t="shared" si="1"/>
        <v/>
      </c>
      <c r="I659" s="55"/>
    </row>
    <row r="660">
      <c r="A660" s="67"/>
      <c r="B660" s="73"/>
      <c r="C660" s="74"/>
      <c r="D660" s="75"/>
      <c r="E660" s="76"/>
      <c r="F660" s="75"/>
      <c r="G660" s="62"/>
      <c r="H660" s="63" t="str">
        <f t="shared" si="1"/>
        <v/>
      </c>
      <c r="I660" s="55"/>
    </row>
    <row r="661">
      <c r="A661" s="67"/>
      <c r="B661" s="73"/>
      <c r="C661" s="74"/>
      <c r="D661" s="75"/>
      <c r="E661" s="76"/>
      <c r="F661" s="75"/>
      <c r="G661" s="62"/>
      <c r="H661" s="63" t="str">
        <f t="shared" si="1"/>
        <v/>
      </c>
      <c r="I661" s="55"/>
    </row>
    <row r="662">
      <c r="A662" s="67"/>
      <c r="B662" s="73"/>
      <c r="C662" s="74"/>
      <c r="D662" s="75"/>
      <c r="E662" s="76"/>
      <c r="F662" s="75"/>
      <c r="G662" s="62"/>
      <c r="H662" s="63" t="str">
        <f t="shared" si="1"/>
        <v/>
      </c>
      <c r="I662" s="55"/>
    </row>
    <row r="663">
      <c r="A663" s="67"/>
      <c r="B663" s="73"/>
      <c r="C663" s="74"/>
      <c r="D663" s="75"/>
      <c r="E663" s="76"/>
      <c r="F663" s="75"/>
      <c r="G663" s="62"/>
      <c r="H663" s="63" t="str">
        <f t="shared" si="1"/>
        <v/>
      </c>
      <c r="I663" s="55"/>
    </row>
    <row r="664">
      <c r="A664" s="67"/>
      <c r="B664" s="73"/>
      <c r="C664" s="74"/>
      <c r="D664" s="75"/>
      <c r="E664" s="76"/>
      <c r="F664" s="75"/>
      <c r="G664" s="62"/>
      <c r="H664" s="63" t="str">
        <f t="shared" si="1"/>
        <v/>
      </c>
      <c r="I664" s="55"/>
    </row>
    <row r="665">
      <c r="A665" s="67"/>
      <c r="B665" s="73"/>
      <c r="C665" s="74"/>
      <c r="D665" s="75"/>
      <c r="E665" s="76"/>
      <c r="F665" s="75"/>
      <c r="G665" s="62"/>
      <c r="H665" s="63" t="str">
        <f t="shared" si="1"/>
        <v/>
      </c>
      <c r="I665" s="55"/>
    </row>
    <row r="666">
      <c r="A666" s="67"/>
      <c r="B666" s="73"/>
      <c r="C666" s="74"/>
      <c r="D666" s="75"/>
      <c r="E666" s="76"/>
      <c r="F666" s="75"/>
      <c r="G666" s="62"/>
      <c r="H666" s="63" t="str">
        <f t="shared" si="1"/>
        <v/>
      </c>
      <c r="I666" s="55"/>
    </row>
    <row r="667">
      <c r="A667" s="67"/>
      <c r="B667" s="73"/>
      <c r="C667" s="74"/>
      <c r="D667" s="75"/>
      <c r="E667" s="76"/>
      <c r="F667" s="75"/>
      <c r="G667" s="62"/>
      <c r="H667" s="63" t="str">
        <f t="shared" si="1"/>
        <v/>
      </c>
      <c r="I667" s="55"/>
    </row>
    <row r="668">
      <c r="A668" s="67"/>
      <c r="B668" s="73"/>
      <c r="C668" s="74"/>
      <c r="D668" s="75"/>
      <c r="E668" s="76"/>
      <c r="F668" s="75"/>
      <c r="G668" s="62"/>
      <c r="H668" s="63" t="str">
        <f t="shared" si="1"/>
        <v/>
      </c>
      <c r="I668" s="55"/>
    </row>
    <row r="669">
      <c r="A669" s="67"/>
      <c r="B669" s="73"/>
      <c r="C669" s="74"/>
      <c r="D669" s="75"/>
      <c r="E669" s="76"/>
      <c r="F669" s="75"/>
      <c r="G669" s="62"/>
      <c r="H669" s="63" t="str">
        <f t="shared" si="1"/>
        <v/>
      </c>
      <c r="I669" s="55"/>
    </row>
    <row r="670">
      <c r="A670" s="67"/>
      <c r="B670" s="73"/>
      <c r="C670" s="74"/>
      <c r="D670" s="75"/>
      <c r="E670" s="76"/>
      <c r="F670" s="75"/>
      <c r="G670" s="62"/>
      <c r="H670" s="63" t="str">
        <f t="shared" si="1"/>
        <v/>
      </c>
      <c r="I670" s="55"/>
    </row>
    <row r="671">
      <c r="A671" s="67"/>
      <c r="B671" s="73"/>
      <c r="C671" s="74"/>
      <c r="D671" s="75"/>
      <c r="E671" s="76"/>
      <c r="F671" s="75"/>
      <c r="G671" s="62"/>
      <c r="H671" s="63" t="str">
        <f t="shared" si="1"/>
        <v/>
      </c>
      <c r="I671" s="55"/>
    </row>
    <row r="672">
      <c r="A672" s="67"/>
      <c r="B672" s="73"/>
      <c r="C672" s="74"/>
      <c r="D672" s="75"/>
      <c r="E672" s="76"/>
      <c r="F672" s="75"/>
      <c r="G672" s="62"/>
      <c r="H672" s="63" t="str">
        <f t="shared" si="1"/>
        <v/>
      </c>
      <c r="I672" s="55"/>
    </row>
    <row r="673">
      <c r="A673" s="67"/>
      <c r="B673" s="73"/>
      <c r="C673" s="74"/>
      <c r="D673" s="75"/>
      <c r="E673" s="76"/>
      <c r="F673" s="75"/>
      <c r="G673" s="62"/>
      <c r="H673" s="63" t="str">
        <f t="shared" si="1"/>
        <v/>
      </c>
      <c r="I673" s="55"/>
    </row>
    <row r="674">
      <c r="A674" s="67"/>
      <c r="B674" s="73"/>
      <c r="C674" s="74"/>
      <c r="D674" s="75"/>
      <c r="E674" s="76"/>
      <c r="F674" s="75"/>
      <c r="G674" s="62"/>
      <c r="H674" s="63" t="str">
        <f t="shared" si="1"/>
        <v/>
      </c>
      <c r="I674" s="55"/>
    </row>
    <row r="675">
      <c r="A675" s="67"/>
      <c r="B675" s="73"/>
      <c r="C675" s="74"/>
      <c r="D675" s="75"/>
      <c r="E675" s="76"/>
      <c r="F675" s="75"/>
      <c r="G675" s="62"/>
      <c r="H675" s="63" t="str">
        <f t="shared" si="1"/>
        <v/>
      </c>
      <c r="I675" s="55"/>
    </row>
    <row r="676">
      <c r="A676" s="67"/>
      <c r="B676" s="73"/>
      <c r="C676" s="74"/>
      <c r="D676" s="75"/>
      <c r="E676" s="76"/>
      <c r="F676" s="75"/>
      <c r="G676" s="62"/>
      <c r="H676" s="63" t="str">
        <f t="shared" si="1"/>
        <v/>
      </c>
      <c r="I676" s="55"/>
    </row>
    <row r="677">
      <c r="A677" s="67"/>
      <c r="B677" s="73"/>
      <c r="C677" s="74"/>
      <c r="D677" s="75"/>
      <c r="E677" s="76"/>
      <c r="F677" s="75"/>
      <c r="G677" s="62"/>
      <c r="H677" s="63" t="str">
        <f t="shared" si="1"/>
        <v/>
      </c>
      <c r="I677" s="55"/>
    </row>
    <row r="678">
      <c r="A678" s="67"/>
      <c r="B678" s="73"/>
      <c r="C678" s="74"/>
      <c r="D678" s="75"/>
      <c r="E678" s="76"/>
      <c r="F678" s="75"/>
      <c r="G678" s="62"/>
      <c r="H678" s="63" t="str">
        <f t="shared" si="1"/>
        <v/>
      </c>
      <c r="I678" s="55"/>
    </row>
    <row r="679">
      <c r="A679" s="67"/>
      <c r="B679" s="73"/>
      <c r="C679" s="74"/>
      <c r="D679" s="75"/>
      <c r="E679" s="76"/>
      <c r="F679" s="75"/>
      <c r="G679" s="62"/>
      <c r="H679" s="63" t="str">
        <f t="shared" si="1"/>
        <v/>
      </c>
      <c r="I679" s="55"/>
    </row>
    <row r="680">
      <c r="A680" s="67"/>
      <c r="B680" s="73"/>
      <c r="C680" s="74"/>
      <c r="D680" s="75"/>
      <c r="E680" s="76"/>
      <c r="F680" s="75"/>
      <c r="G680" s="62"/>
      <c r="H680" s="63" t="str">
        <f t="shared" si="1"/>
        <v/>
      </c>
      <c r="I680" s="55"/>
    </row>
    <row r="681">
      <c r="A681" s="67"/>
      <c r="B681" s="73"/>
      <c r="C681" s="74"/>
      <c r="D681" s="75"/>
      <c r="E681" s="76"/>
      <c r="F681" s="75"/>
      <c r="G681" s="62"/>
      <c r="H681" s="63" t="str">
        <f t="shared" si="1"/>
        <v/>
      </c>
      <c r="I681" s="55"/>
    </row>
    <row r="682">
      <c r="A682" s="67"/>
      <c r="B682" s="73"/>
      <c r="C682" s="74"/>
      <c r="D682" s="75"/>
      <c r="E682" s="76"/>
      <c r="F682" s="75"/>
      <c r="G682" s="62"/>
      <c r="H682" s="63" t="str">
        <f t="shared" si="1"/>
        <v/>
      </c>
      <c r="I682" s="55"/>
    </row>
    <row r="683">
      <c r="A683" s="67"/>
      <c r="B683" s="73"/>
      <c r="C683" s="74"/>
      <c r="D683" s="75"/>
      <c r="E683" s="76"/>
      <c r="F683" s="75"/>
      <c r="G683" s="62"/>
      <c r="H683" s="63" t="str">
        <f t="shared" si="1"/>
        <v/>
      </c>
      <c r="I683" s="55"/>
    </row>
    <row r="684">
      <c r="A684" s="67"/>
      <c r="B684" s="73"/>
      <c r="C684" s="74"/>
      <c r="D684" s="75"/>
      <c r="E684" s="76"/>
      <c r="F684" s="75"/>
      <c r="G684" s="62"/>
      <c r="H684" s="63" t="str">
        <f t="shared" si="1"/>
        <v/>
      </c>
      <c r="I684" s="55"/>
    </row>
    <row r="685">
      <c r="A685" s="67"/>
      <c r="B685" s="73"/>
      <c r="C685" s="74"/>
      <c r="D685" s="75"/>
      <c r="E685" s="76"/>
      <c r="F685" s="75"/>
      <c r="G685" s="62"/>
      <c r="H685" s="63" t="str">
        <f t="shared" si="1"/>
        <v/>
      </c>
      <c r="I685" s="55"/>
    </row>
    <row r="686">
      <c r="A686" s="67"/>
      <c r="B686" s="73"/>
      <c r="C686" s="74"/>
      <c r="D686" s="75"/>
      <c r="E686" s="76"/>
      <c r="F686" s="75"/>
      <c r="G686" s="62"/>
      <c r="H686" s="63" t="str">
        <f t="shared" si="1"/>
        <v/>
      </c>
      <c r="I686" s="55"/>
    </row>
    <row r="687">
      <c r="A687" s="67"/>
      <c r="B687" s="73"/>
      <c r="C687" s="74"/>
      <c r="D687" s="75"/>
      <c r="E687" s="76"/>
      <c r="F687" s="75"/>
      <c r="G687" s="62"/>
      <c r="H687" s="63" t="str">
        <f t="shared" si="1"/>
        <v/>
      </c>
      <c r="I687" s="55"/>
    </row>
    <row r="688">
      <c r="A688" s="67"/>
      <c r="B688" s="73"/>
      <c r="C688" s="74"/>
      <c r="D688" s="75"/>
      <c r="E688" s="76"/>
      <c r="F688" s="75"/>
      <c r="G688" s="62"/>
      <c r="H688" s="63" t="str">
        <f t="shared" si="1"/>
        <v/>
      </c>
      <c r="I688" s="55"/>
    </row>
    <row r="689">
      <c r="A689" s="67"/>
      <c r="B689" s="73"/>
      <c r="C689" s="74"/>
      <c r="D689" s="75"/>
      <c r="E689" s="76"/>
      <c r="F689" s="75"/>
      <c r="G689" s="62"/>
      <c r="H689" s="63" t="str">
        <f t="shared" si="1"/>
        <v/>
      </c>
      <c r="I689" s="55"/>
    </row>
    <row r="690">
      <c r="A690" s="67"/>
      <c r="B690" s="73"/>
      <c r="C690" s="74"/>
      <c r="D690" s="75"/>
      <c r="E690" s="76"/>
      <c r="F690" s="75"/>
      <c r="G690" s="62"/>
      <c r="H690" s="63" t="str">
        <f t="shared" si="1"/>
        <v/>
      </c>
      <c r="I690" s="55"/>
    </row>
    <row r="691">
      <c r="A691" s="67"/>
      <c r="B691" s="73"/>
      <c r="C691" s="74"/>
      <c r="D691" s="75"/>
      <c r="E691" s="76"/>
      <c r="F691" s="75"/>
      <c r="G691" s="62"/>
      <c r="H691" s="63" t="str">
        <f t="shared" si="1"/>
        <v/>
      </c>
      <c r="I691" s="55"/>
    </row>
    <row r="692">
      <c r="A692" s="67"/>
      <c r="B692" s="73"/>
      <c r="C692" s="74"/>
      <c r="D692" s="75"/>
      <c r="E692" s="76"/>
      <c r="F692" s="75"/>
      <c r="G692" s="62"/>
      <c r="H692" s="63" t="str">
        <f t="shared" si="1"/>
        <v/>
      </c>
      <c r="I692" s="55"/>
    </row>
    <row r="693">
      <c r="A693" s="67"/>
      <c r="B693" s="73"/>
      <c r="C693" s="74"/>
      <c r="D693" s="75"/>
      <c r="E693" s="76"/>
      <c r="F693" s="75"/>
      <c r="G693" s="62"/>
      <c r="H693" s="63" t="str">
        <f t="shared" si="1"/>
        <v/>
      </c>
      <c r="I693" s="55"/>
    </row>
    <row r="694">
      <c r="A694" s="67"/>
      <c r="B694" s="73"/>
      <c r="C694" s="74"/>
      <c r="D694" s="75"/>
      <c r="E694" s="76"/>
      <c r="F694" s="75"/>
      <c r="G694" s="62"/>
      <c r="H694" s="63" t="str">
        <f t="shared" si="1"/>
        <v/>
      </c>
      <c r="I694" s="55"/>
    </row>
    <row r="695">
      <c r="A695" s="67"/>
      <c r="B695" s="73"/>
      <c r="C695" s="74"/>
      <c r="D695" s="75"/>
      <c r="E695" s="76"/>
      <c r="F695" s="75"/>
      <c r="G695" s="62"/>
      <c r="H695" s="63" t="str">
        <f t="shared" si="1"/>
        <v/>
      </c>
      <c r="I695" s="55"/>
    </row>
    <row r="696">
      <c r="A696" s="67"/>
      <c r="B696" s="73"/>
      <c r="C696" s="74"/>
      <c r="D696" s="75"/>
      <c r="E696" s="76"/>
      <c r="F696" s="75"/>
      <c r="G696" s="62"/>
      <c r="H696" s="63" t="str">
        <f t="shared" si="1"/>
        <v/>
      </c>
      <c r="I696" s="55"/>
    </row>
    <row r="697">
      <c r="A697" s="67"/>
      <c r="B697" s="73"/>
      <c r="C697" s="74"/>
      <c r="D697" s="75"/>
      <c r="E697" s="76"/>
      <c r="F697" s="75"/>
      <c r="G697" s="62"/>
      <c r="H697" s="63" t="str">
        <f t="shared" si="1"/>
        <v/>
      </c>
      <c r="I697" s="55"/>
    </row>
    <row r="698">
      <c r="A698" s="67"/>
      <c r="B698" s="73"/>
      <c r="C698" s="74"/>
      <c r="D698" s="75"/>
      <c r="E698" s="76"/>
      <c r="F698" s="75"/>
      <c r="G698" s="62"/>
      <c r="H698" s="63" t="str">
        <f t="shared" si="1"/>
        <v/>
      </c>
      <c r="I698" s="55"/>
    </row>
    <row r="699">
      <c r="A699" s="67"/>
      <c r="B699" s="73"/>
      <c r="C699" s="74"/>
      <c r="D699" s="75"/>
      <c r="E699" s="76"/>
      <c r="F699" s="75"/>
      <c r="G699" s="62"/>
      <c r="H699" s="63" t="str">
        <f t="shared" si="1"/>
        <v/>
      </c>
      <c r="I699" s="55"/>
    </row>
    <row r="700">
      <c r="A700" s="67"/>
      <c r="B700" s="73"/>
      <c r="C700" s="74"/>
      <c r="D700" s="75"/>
      <c r="E700" s="76"/>
      <c r="F700" s="75"/>
      <c r="G700" s="62"/>
      <c r="H700" s="63" t="str">
        <f t="shared" si="1"/>
        <v/>
      </c>
      <c r="I700" s="55"/>
    </row>
    <row r="701">
      <c r="A701" s="67"/>
      <c r="B701" s="73"/>
      <c r="C701" s="74"/>
      <c r="D701" s="75"/>
      <c r="E701" s="76"/>
      <c r="F701" s="75"/>
      <c r="G701" s="62"/>
      <c r="H701" s="63" t="str">
        <f t="shared" si="1"/>
        <v/>
      </c>
      <c r="I701" s="55"/>
    </row>
    <row r="702">
      <c r="A702" s="67"/>
      <c r="B702" s="73"/>
      <c r="C702" s="74"/>
      <c r="D702" s="75"/>
      <c r="E702" s="76"/>
      <c r="F702" s="75"/>
      <c r="G702" s="62"/>
      <c r="H702" s="63" t="str">
        <f t="shared" si="1"/>
        <v/>
      </c>
      <c r="I702" s="55"/>
    </row>
    <row r="703">
      <c r="A703" s="67"/>
      <c r="B703" s="73"/>
      <c r="C703" s="74"/>
      <c r="D703" s="75"/>
      <c r="E703" s="76"/>
      <c r="F703" s="75"/>
      <c r="G703" s="62"/>
      <c r="H703" s="63" t="str">
        <f t="shared" si="1"/>
        <v/>
      </c>
      <c r="I703" s="55"/>
    </row>
    <row r="704">
      <c r="A704" s="67"/>
      <c r="B704" s="73"/>
      <c r="C704" s="74"/>
      <c r="D704" s="75"/>
      <c r="E704" s="76"/>
      <c r="F704" s="75"/>
      <c r="G704" s="62"/>
      <c r="H704" s="63" t="str">
        <f t="shared" si="1"/>
        <v/>
      </c>
      <c r="I704" s="55"/>
    </row>
    <row r="705">
      <c r="A705" s="67"/>
      <c r="B705" s="73"/>
      <c r="C705" s="74"/>
      <c r="D705" s="75"/>
      <c r="E705" s="76"/>
      <c r="F705" s="75"/>
      <c r="G705" s="62"/>
      <c r="H705" s="63" t="str">
        <f t="shared" si="1"/>
        <v/>
      </c>
      <c r="I705" s="55"/>
    </row>
    <row r="706">
      <c r="A706" s="67"/>
      <c r="B706" s="73"/>
      <c r="C706" s="74"/>
      <c r="D706" s="75"/>
      <c r="E706" s="76"/>
      <c r="F706" s="75"/>
      <c r="G706" s="62"/>
      <c r="H706" s="63" t="str">
        <f t="shared" si="1"/>
        <v/>
      </c>
      <c r="I706" s="55"/>
    </row>
    <row r="707">
      <c r="A707" s="67"/>
      <c r="B707" s="73"/>
      <c r="C707" s="74"/>
      <c r="D707" s="75"/>
      <c r="E707" s="76"/>
      <c r="F707" s="75"/>
      <c r="G707" s="62"/>
      <c r="H707" s="63" t="str">
        <f t="shared" si="1"/>
        <v/>
      </c>
      <c r="I707" s="55"/>
    </row>
    <row r="708">
      <c r="A708" s="67"/>
      <c r="B708" s="73"/>
      <c r="C708" s="74"/>
      <c r="D708" s="75"/>
      <c r="E708" s="76"/>
      <c r="F708" s="75"/>
      <c r="G708" s="62"/>
      <c r="H708" s="63" t="str">
        <f t="shared" si="1"/>
        <v/>
      </c>
      <c r="I708" s="55"/>
    </row>
    <row r="709">
      <c r="A709" s="67"/>
      <c r="B709" s="73"/>
      <c r="C709" s="74"/>
      <c r="D709" s="75"/>
      <c r="E709" s="76"/>
      <c r="F709" s="75"/>
      <c r="G709" s="62"/>
      <c r="H709" s="63" t="str">
        <f t="shared" si="1"/>
        <v/>
      </c>
      <c r="I709" s="55"/>
    </row>
    <row r="710">
      <c r="A710" s="67"/>
      <c r="B710" s="73"/>
      <c r="C710" s="74"/>
      <c r="D710" s="75"/>
      <c r="E710" s="76"/>
      <c r="F710" s="75"/>
      <c r="G710" s="62"/>
      <c r="H710" s="63" t="str">
        <f t="shared" si="1"/>
        <v/>
      </c>
      <c r="I710" s="55"/>
    </row>
    <row r="711">
      <c r="A711" s="67"/>
      <c r="B711" s="73"/>
      <c r="C711" s="74"/>
      <c r="D711" s="75"/>
      <c r="E711" s="76"/>
      <c r="F711" s="75"/>
      <c r="G711" s="62"/>
      <c r="H711" s="63" t="str">
        <f t="shared" si="1"/>
        <v/>
      </c>
      <c r="I711" s="55"/>
    </row>
    <row r="712">
      <c r="A712" s="67"/>
      <c r="B712" s="73"/>
      <c r="C712" s="74"/>
      <c r="D712" s="75"/>
      <c r="E712" s="76"/>
      <c r="F712" s="75"/>
      <c r="G712" s="62"/>
      <c r="H712" s="63" t="str">
        <f t="shared" si="1"/>
        <v/>
      </c>
      <c r="I712" s="55"/>
    </row>
    <row r="713">
      <c r="A713" s="67"/>
      <c r="B713" s="73"/>
      <c r="C713" s="74"/>
      <c r="D713" s="75"/>
      <c r="E713" s="76"/>
      <c r="F713" s="75"/>
      <c r="G713" s="62"/>
      <c r="H713" s="63" t="str">
        <f t="shared" si="1"/>
        <v/>
      </c>
      <c r="I713" s="55"/>
    </row>
    <row r="714">
      <c r="A714" s="67"/>
      <c r="B714" s="73"/>
      <c r="C714" s="74"/>
      <c r="D714" s="75"/>
      <c r="E714" s="76"/>
      <c r="F714" s="75"/>
      <c r="G714" s="62"/>
      <c r="H714" s="63" t="str">
        <f t="shared" si="1"/>
        <v/>
      </c>
      <c r="I714" s="55"/>
    </row>
    <row r="715">
      <c r="A715" s="67"/>
      <c r="B715" s="73"/>
      <c r="C715" s="74"/>
      <c r="D715" s="75"/>
      <c r="E715" s="76"/>
      <c r="F715" s="75"/>
      <c r="G715" s="62"/>
      <c r="H715" s="63" t="str">
        <f t="shared" si="1"/>
        <v/>
      </c>
      <c r="I715" s="55"/>
    </row>
    <row r="716">
      <c r="A716" s="67"/>
      <c r="B716" s="73"/>
      <c r="C716" s="74"/>
      <c r="D716" s="75"/>
      <c r="E716" s="76"/>
      <c r="F716" s="75"/>
      <c r="G716" s="62"/>
      <c r="H716" s="63" t="str">
        <f t="shared" si="1"/>
        <v/>
      </c>
      <c r="I716" s="55"/>
    </row>
    <row r="717">
      <c r="A717" s="67"/>
      <c r="B717" s="73"/>
      <c r="C717" s="74"/>
      <c r="D717" s="75"/>
      <c r="E717" s="76"/>
      <c r="F717" s="75"/>
      <c r="G717" s="62"/>
      <c r="H717" s="63" t="str">
        <f t="shared" si="1"/>
        <v/>
      </c>
      <c r="I717" s="55"/>
    </row>
    <row r="718">
      <c r="A718" s="67"/>
      <c r="B718" s="73"/>
      <c r="C718" s="74"/>
      <c r="D718" s="75"/>
      <c r="E718" s="76"/>
      <c r="F718" s="75"/>
      <c r="G718" s="62"/>
      <c r="H718" s="63" t="str">
        <f t="shared" si="1"/>
        <v/>
      </c>
      <c r="I718" s="55"/>
    </row>
    <row r="719">
      <c r="A719" s="67"/>
      <c r="B719" s="73"/>
      <c r="C719" s="74"/>
      <c r="D719" s="75"/>
      <c r="E719" s="76"/>
      <c r="F719" s="75"/>
      <c r="G719" s="62"/>
      <c r="H719" s="63" t="str">
        <f t="shared" si="1"/>
        <v/>
      </c>
      <c r="I719" s="55"/>
    </row>
    <row r="720">
      <c r="A720" s="67"/>
      <c r="B720" s="73"/>
      <c r="C720" s="74"/>
      <c r="D720" s="75"/>
      <c r="E720" s="76"/>
      <c r="F720" s="75"/>
      <c r="G720" s="62"/>
      <c r="H720" s="63" t="str">
        <f t="shared" si="1"/>
        <v/>
      </c>
      <c r="I720" s="55"/>
    </row>
    <row r="721">
      <c r="A721" s="67"/>
      <c r="B721" s="73"/>
      <c r="C721" s="74"/>
      <c r="D721" s="75"/>
      <c r="E721" s="76"/>
      <c r="F721" s="75"/>
      <c r="G721" s="62"/>
      <c r="H721" s="63" t="str">
        <f t="shared" si="1"/>
        <v/>
      </c>
      <c r="I721" s="55"/>
    </row>
    <row r="722">
      <c r="A722" s="67"/>
      <c r="B722" s="73"/>
      <c r="C722" s="74"/>
      <c r="D722" s="75"/>
      <c r="E722" s="76"/>
      <c r="F722" s="75"/>
      <c r="G722" s="62"/>
      <c r="H722" s="63" t="str">
        <f t="shared" si="1"/>
        <v/>
      </c>
      <c r="I722" s="55"/>
    </row>
    <row r="723">
      <c r="A723" s="67"/>
      <c r="B723" s="73"/>
      <c r="C723" s="74"/>
      <c r="D723" s="75"/>
      <c r="E723" s="76"/>
      <c r="F723" s="75"/>
      <c r="G723" s="62"/>
      <c r="H723" s="63" t="str">
        <f t="shared" si="1"/>
        <v/>
      </c>
      <c r="I723" s="55"/>
    </row>
    <row r="724">
      <c r="A724" s="67"/>
      <c r="B724" s="73"/>
      <c r="C724" s="74"/>
      <c r="D724" s="75"/>
      <c r="E724" s="76"/>
      <c r="F724" s="75"/>
      <c r="G724" s="62"/>
      <c r="H724" s="63" t="str">
        <f t="shared" si="1"/>
        <v/>
      </c>
      <c r="I724" s="55"/>
    </row>
    <row r="725">
      <c r="A725" s="67"/>
      <c r="B725" s="73"/>
      <c r="C725" s="74"/>
      <c r="D725" s="75"/>
      <c r="E725" s="76"/>
      <c r="F725" s="75"/>
      <c r="G725" s="62"/>
      <c r="H725" s="63" t="str">
        <f t="shared" si="1"/>
        <v/>
      </c>
      <c r="I725" s="55"/>
    </row>
    <row r="726">
      <c r="A726" s="67"/>
      <c r="B726" s="73"/>
      <c r="C726" s="74"/>
      <c r="D726" s="75"/>
      <c r="E726" s="76"/>
      <c r="F726" s="75"/>
      <c r="G726" s="62"/>
      <c r="H726" s="63" t="str">
        <f t="shared" si="1"/>
        <v/>
      </c>
      <c r="I726" s="55"/>
    </row>
    <row r="727">
      <c r="A727" s="67"/>
      <c r="B727" s="73"/>
      <c r="C727" s="74"/>
      <c r="D727" s="75"/>
      <c r="E727" s="76"/>
      <c r="F727" s="75"/>
      <c r="G727" s="62"/>
      <c r="H727" s="63" t="str">
        <f t="shared" si="1"/>
        <v/>
      </c>
      <c r="I727" s="55"/>
    </row>
    <row r="728">
      <c r="A728" s="67"/>
      <c r="B728" s="73"/>
      <c r="C728" s="74"/>
      <c r="D728" s="75"/>
      <c r="E728" s="76"/>
      <c r="F728" s="75"/>
      <c r="G728" s="62"/>
      <c r="H728" s="63" t="str">
        <f t="shared" si="1"/>
        <v/>
      </c>
      <c r="I728" s="55"/>
    </row>
    <row r="729">
      <c r="A729" s="67"/>
      <c r="B729" s="73"/>
      <c r="C729" s="74"/>
      <c r="D729" s="75"/>
      <c r="E729" s="76"/>
      <c r="F729" s="75"/>
      <c r="G729" s="62"/>
      <c r="H729" s="63" t="str">
        <f t="shared" si="1"/>
        <v/>
      </c>
      <c r="I729" s="55"/>
    </row>
    <row r="730">
      <c r="A730" s="67"/>
      <c r="B730" s="73"/>
      <c r="C730" s="74"/>
      <c r="D730" s="75"/>
      <c r="E730" s="76"/>
      <c r="F730" s="75"/>
      <c r="G730" s="62"/>
      <c r="H730" s="63" t="str">
        <f t="shared" si="1"/>
        <v/>
      </c>
      <c r="I730" s="55"/>
    </row>
    <row r="731">
      <c r="A731" s="67"/>
      <c r="B731" s="73"/>
      <c r="C731" s="74"/>
      <c r="D731" s="75"/>
      <c r="E731" s="76"/>
      <c r="F731" s="75"/>
      <c r="G731" s="62"/>
      <c r="H731" s="63" t="str">
        <f t="shared" si="1"/>
        <v/>
      </c>
      <c r="I731" s="55"/>
    </row>
    <row r="732">
      <c r="A732" s="67"/>
      <c r="B732" s="73"/>
      <c r="C732" s="74"/>
      <c r="D732" s="75"/>
      <c r="E732" s="76"/>
      <c r="F732" s="75"/>
      <c r="G732" s="62"/>
      <c r="H732" s="63" t="str">
        <f t="shared" si="1"/>
        <v/>
      </c>
      <c r="I732" s="55"/>
    </row>
    <row r="733">
      <c r="A733" s="67"/>
      <c r="B733" s="73"/>
      <c r="C733" s="74"/>
      <c r="D733" s="75"/>
      <c r="E733" s="76"/>
      <c r="F733" s="75"/>
      <c r="G733" s="62"/>
      <c r="H733" s="63" t="str">
        <f t="shared" si="1"/>
        <v/>
      </c>
      <c r="I733" s="55"/>
    </row>
    <row r="734">
      <c r="A734" s="67"/>
      <c r="B734" s="73"/>
      <c r="C734" s="74"/>
      <c r="D734" s="75"/>
      <c r="E734" s="76"/>
      <c r="F734" s="75"/>
      <c r="G734" s="62"/>
      <c r="H734" s="63" t="str">
        <f t="shared" si="1"/>
        <v/>
      </c>
      <c r="I734" s="55"/>
    </row>
    <row r="735">
      <c r="A735" s="67"/>
      <c r="B735" s="73"/>
      <c r="C735" s="74"/>
      <c r="D735" s="75"/>
      <c r="E735" s="76"/>
      <c r="F735" s="75"/>
      <c r="G735" s="62"/>
      <c r="H735" s="63" t="str">
        <f t="shared" si="1"/>
        <v/>
      </c>
      <c r="I735" s="55"/>
    </row>
    <row r="736">
      <c r="A736" s="67"/>
      <c r="B736" s="73"/>
      <c r="C736" s="74"/>
      <c r="D736" s="75"/>
      <c r="E736" s="76"/>
      <c r="F736" s="75"/>
      <c r="G736" s="62"/>
      <c r="H736" s="63" t="str">
        <f t="shared" si="1"/>
        <v/>
      </c>
      <c r="I736" s="55"/>
    </row>
    <row r="737">
      <c r="A737" s="67"/>
      <c r="B737" s="73"/>
      <c r="C737" s="74"/>
      <c r="D737" s="75"/>
      <c r="E737" s="76"/>
      <c r="F737" s="75"/>
      <c r="G737" s="62"/>
      <c r="H737" s="63" t="str">
        <f t="shared" si="1"/>
        <v/>
      </c>
      <c r="I737" s="55"/>
    </row>
    <row r="738">
      <c r="A738" s="67"/>
      <c r="B738" s="73"/>
      <c r="C738" s="74"/>
      <c r="D738" s="75"/>
      <c r="E738" s="76"/>
      <c r="F738" s="75"/>
      <c r="G738" s="62"/>
      <c r="H738" s="63" t="str">
        <f t="shared" si="1"/>
        <v/>
      </c>
      <c r="I738" s="55"/>
    </row>
    <row r="739">
      <c r="A739" s="67"/>
      <c r="B739" s="73"/>
      <c r="C739" s="74"/>
      <c r="D739" s="75"/>
      <c r="E739" s="76"/>
      <c r="F739" s="75"/>
      <c r="G739" s="62"/>
      <c r="H739" s="63" t="str">
        <f t="shared" si="1"/>
        <v/>
      </c>
      <c r="I739" s="55"/>
    </row>
    <row r="740">
      <c r="A740" s="67"/>
      <c r="B740" s="73"/>
      <c r="C740" s="74"/>
      <c r="D740" s="75"/>
      <c r="E740" s="76"/>
      <c r="F740" s="75"/>
      <c r="G740" s="62"/>
      <c r="H740" s="63" t="str">
        <f t="shared" si="1"/>
        <v/>
      </c>
      <c r="I740" s="55"/>
    </row>
    <row r="741">
      <c r="A741" s="67"/>
      <c r="B741" s="73"/>
      <c r="C741" s="74"/>
      <c r="D741" s="75"/>
      <c r="E741" s="76"/>
      <c r="F741" s="75"/>
      <c r="G741" s="62"/>
      <c r="H741" s="63" t="str">
        <f t="shared" si="1"/>
        <v/>
      </c>
      <c r="I741" s="55"/>
    </row>
    <row r="742">
      <c r="A742" s="67"/>
      <c r="B742" s="73"/>
      <c r="C742" s="74"/>
      <c r="D742" s="75"/>
      <c r="E742" s="76"/>
      <c r="F742" s="75"/>
      <c r="G742" s="62"/>
      <c r="H742" s="63" t="str">
        <f t="shared" si="1"/>
        <v/>
      </c>
      <c r="I742" s="55"/>
    </row>
    <row r="743">
      <c r="A743" s="67"/>
      <c r="B743" s="73"/>
      <c r="C743" s="74"/>
      <c r="D743" s="75"/>
      <c r="E743" s="76"/>
      <c r="F743" s="75"/>
      <c r="G743" s="62"/>
      <c r="H743" s="63" t="str">
        <f t="shared" si="1"/>
        <v/>
      </c>
      <c r="I743" s="55"/>
    </row>
    <row r="744">
      <c r="A744" s="67"/>
      <c r="B744" s="73"/>
      <c r="C744" s="74"/>
      <c r="D744" s="75"/>
      <c r="E744" s="76"/>
      <c r="F744" s="75"/>
      <c r="G744" s="62"/>
      <c r="H744" s="63" t="str">
        <f t="shared" si="1"/>
        <v/>
      </c>
      <c r="I744" s="55"/>
    </row>
    <row r="745">
      <c r="A745" s="67"/>
      <c r="B745" s="73"/>
      <c r="C745" s="74"/>
      <c r="D745" s="75"/>
      <c r="E745" s="76"/>
      <c r="F745" s="75"/>
      <c r="G745" s="62"/>
      <c r="H745" s="63" t="str">
        <f t="shared" si="1"/>
        <v/>
      </c>
      <c r="I745" s="55"/>
    </row>
    <row r="746">
      <c r="A746" s="67"/>
      <c r="B746" s="73"/>
      <c r="C746" s="74"/>
      <c r="D746" s="75"/>
      <c r="E746" s="76"/>
      <c r="F746" s="75"/>
      <c r="G746" s="62"/>
      <c r="H746" s="63" t="str">
        <f t="shared" si="1"/>
        <v/>
      </c>
      <c r="I746" s="55"/>
    </row>
    <row r="747">
      <c r="A747" s="67"/>
      <c r="B747" s="73"/>
      <c r="C747" s="74"/>
      <c r="D747" s="75"/>
      <c r="E747" s="76"/>
      <c r="F747" s="75"/>
      <c r="G747" s="62"/>
      <c r="H747" s="63" t="str">
        <f t="shared" si="1"/>
        <v/>
      </c>
      <c r="I747" s="55"/>
    </row>
    <row r="748">
      <c r="A748" s="67"/>
      <c r="B748" s="73"/>
      <c r="C748" s="74"/>
      <c r="D748" s="75"/>
      <c r="E748" s="76"/>
      <c r="F748" s="75"/>
      <c r="G748" s="62"/>
      <c r="H748" s="63" t="str">
        <f t="shared" si="1"/>
        <v/>
      </c>
      <c r="I748" s="55"/>
    </row>
    <row r="749">
      <c r="A749" s="67"/>
      <c r="B749" s="73"/>
      <c r="C749" s="74"/>
      <c r="D749" s="75"/>
      <c r="E749" s="76"/>
      <c r="F749" s="75"/>
      <c r="G749" s="62"/>
      <c r="H749" s="63" t="str">
        <f t="shared" si="1"/>
        <v/>
      </c>
      <c r="I749" s="55"/>
    </row>
    <row r="750">
      <c r="A750" s="67"/>
      <c r="B750" s="73"/>
      <c r="C750" s="74"/>
      <c r="D750" s="75"/>
      <c r="E750" s="76"/>
      <c r="F750" s="75"/>
      <c r="G750" s="62"/>
      <c r="H750" s="63" t="str">
        <f t="shared" si="1"/>
        <v/>
      </c>
      <c r="I750" s="55"/>
    </row>
    <row r="751">
      <c r="A751" s="67"/>
      <c r="B751" s="73"/>
      <c r="C751" s="74"/>
      <c r="D751" s="75"/>
      <c r="E751" s="76"/>
      <c r="F751" s="75"/>
      <c r="G751" s="62"/>
      <c r="H751" s="63" t="str">
        <f t="shared" si="1"/>
        <v/>
      </c>
      <c r="I751" s="55"/>
    </row>
    <row r="752">
      <c r="A752" s="67"/>
      <c r="B752" s="73"/>
      <c r="C752" s="74"/>
      <c r="D752" s="75"/>
      <c r="E752" s="76"/>
      <c r="F752" s="75"/>
      <c r="G752" s="62"/>
      <c r="H752" s="63" t="str">
        <f t="shared" si="1"/>
        <v/>
      </c>
      <c r="I752" s="55"/>
    </row>
    <row r="753">
      <c r="A753" s="67"/>
      <c r="B753" s="73"/>
      <c r="C753" s="74"/>
      <c r="D753" s="75"/>
      <c r="E753" s="76"/>
      <c r="F753" s="75"/>
      <c r="G753" s="62"/>
      <c r="H753" s="63" t="str">
        <f t="shared" si="1"/>
        <v/>
      </c>
      <c r="I753" s="55"/>
    </row>
    <row r="754">
      <c r="A754" s="67"/>
      <c r="B754" s="73"/>
      <c r="C754" s="74"/>
      <c r="D754" s="75"/>
      <c r="E754" s="76"/>
      <c r="F754" s="75"/>
      <c r="G754" s="62"/>
      <c r="H754" s="63" t="str">
        <f t="shared" si="1"/>
        <v/>
      </c>
      <c r="I754" s="55"/>
    </row>
    <row r="755">
      <c r="A755" s="67"/>
      <c r="B755" s="73"/>
      <c r="C755" s="74"/>
      <c r="D755" s="75"/>
      <c r="E755" s="76"/>
      <c r="F755" s="75"/>
      <c r="G755" s="62"/>
      <c r="H755" s="63" t="str">
        <f t="shared" si="1"/>
        <v/>
      </c>
      <c r="I755" s="55"/>
    </row>
    <row r="756">
      <c r="A756" s="67"/>
      <c r="B756" s="73"/>
      <c r="C756" s="74"/>
      <c r="D756" s="75"/>
      <c r="E756" s="76"/>
      <c r="F756" s="75"/>
      <c r="G756" s="62"/>
      <c r="H756" s="63" t="str">
        <f t="shared" si="1"/>
        <v/>
      </c>
      <c r="I756" s="55"/>
    </row>
    <row r="757">
      <c r="A757" s="67"/>
      <c r="B757" s="73"/>
      <c r="C757" s="74"/>
      <c r="D757" s="75"/>
      <c r="E757" s="76"/>
      <c r="F757" s="75"/>
      <c r="G757" s="62"/>
      <c r="H757" s="63" t="str">
        <f t="shared" si="1"/>
        <v/>
      </c>
      <c r="I757" s="55"/>
    </row>
    <row r="758">
      <c r="A758" s="67"/>
      <c r="B758" s="73"/>
      <c r="C758" s="74"/>
      <c r="D758" s="75"/>
      <c r="E758" s="76"/>
      <c r="F758" s="75"/>
      <c r="G758" s="62"/>
      <c r="H758" s="63" t="str">
        <f t="shared" si="1"/>
        <v/>
      </c>
      <c r="I758" s="55"/>
    </row>
    <row r="759">
      <c r="A759" s="67"/>
      <c r="B759" s="73"/>
      <c r="C759" s="74"/>
      <c r="D759" s="75"/>
      <c r="E759" s="76"/>
      <c r="F759" s="75"/>
      <c r="G759" s="62"/>
      <c r="H759" s="63" t="str">
        <f t="shared" si="1"/>
        <v/>
      </c>
      <c r="I759" s="55"/>
    </row>
    <row r="760">
      <c r="A760" s="67"/>
      <c r="B760" s="73"/>
      <c r="C760" s="74"/>
      <c r="D760" s="75"/>
      <c r="E760" s="76"/>
      <c r="F760" s="75"/>
      <c r="G760" s="62"/>
      <c r="H760" s="63" t="str">
        <f t="shared" si="1"/>
        <v/>
      </c>
      <c r="I760" s="55"/>
    </row>
    <row r="761">
      <c r="A761" s="67"/>
      <c r="B761" s="73"/>
      <c r="C761" s="74"/>
      <c r="D761" s="75"/>
      <c r="E761" s="76"/>
      <c r="F761" s="75"/>
      <c r="G761" s="62"/>
      <c r="H761" s="63" t="str">
        <f t="shared" si="1"/>
        <v/>
      </c>
      <c r="I761" s="55"/>
    </row>
    <row r="762">
      <c r="A762" s="67"/>
      <c r="B762" s="73"/>
      <c r="C762" s="74"/>
      <c r="D762" s="75"/>
      <c r="E762" s="76"/>
      <c r="F762" s="75"/>
      <c r="G762" s="62"/>
      <c r="H762" s="63" t="str">
        <f t="shared" si="1"/>
        <v/>
      </c>
      <c r="I762" s="55"/>
    </row>
    <row r="763">
      <c r="A763" s="67"/>
      <c r="B763" s="73"/>
      <c r="C763" s="74"/>
      <c r="D763" s="75"/>
      <c r="E763" s="76"/>
      <c r="F763" s="75"/>
      <c r="G763" s="62"/>
      <c r="H763" s="63" t="str">
        <f t="shared" si="1"/>
        <v/>
      </c>
      <c r="I763" s="55"/>
    </row>
    <row r="764">
      <c r="A764" s="67"/>
      <c r="B764" s="73"/>
      <c r="C764" s="74"/>
      <c r="D764" s="75"/>
      <c r="E764" s="76"/>
      <c r="F764" s="75"/>
      <c r="G764" s="62"/>
      <c r="H764" s="63" t="str">
        <f t="shared" si="1"/>
        <v/>
      </c>
      <c r="I764" s="55"/>
    </row>
    <row r="765">
      <c r="A765" s="67"/>
      <c r="B765" s="73"/>
      <c r="C765" s="74"/>
      <c r="D765" s="75"/>
      <c r="E765" s="76"/>
      <c r="F765" s="75"/>
      <c r="G765" s="62"/>
      <c r="H765" s="63" t="str">
        <f t="shared" si="1"/>
        <v/>
      </c>
      <c r="I765" s="55"/>
    </row>
    <row r="766">
      <c r="A766" s="67"/>
      <c r="B766" s="73"/>
      <c r="C766" s="74"/>
      <c r="D766" s="75"/>
      <c r="E766" s="76"/>
      <c r="F766" s="75"/>
      <c r="G766" s="62"/>
      <c r="H766" s="63" t="str">
        <f t="shared" si="1"/>
        <v/>
      </c>
      <c r="I766" s="55"/>
    </row>
    <row r="767">
      <c r="A767" s="67"/>
      <c r="B767" s="73"/>
      <c r="C767" s="74"/>
      <c r="D767" s="75"/>
      <c r="E767" s="76"/>
      <c r="F767" s="75"/>
      <c r="G767" s="62"/>
      <c r="H767" s="63" t="str">
        <f t="shared" si="1"/>
        <v/>
      </c>
      <c r="I767" s="55"/>
    </row>
    <row r="768">
      <c r="A768" s="67"/>
      <c r="B768" s="73"/>
      <c r="C768" s="74"/>
      <c r="D768" s="75"/>
      <c r="E768" s="76"/>
      <c r="F768" s="75"/>
      <c r="G768" s="62"/>
      <c r="H768" s="63" t="str">
        <f t="shared" si="1"/>
        <v/>
      </c>
      <c r="I768" s="55"/>
    </row>
    <row r="769">
      <c r="A769" s="67"/>
      <c r="B769" s="73"/>
      <c r="C769" s="74"/>
      <c r="D769" s="75"/>
      <c r="E769" s="76"/>
      <c r="F769" s="75"/>
      <c r="G769" s="62"/>
      <c r="H769" s="63" t="str">
        <f t="shared" si="1"/>
        <v/>
      </c>
      <c r="I769" s="55"/>
    </row>
    <row r="770">
      <c r="A770" s="67"/>
      <c r="B770" s="73"/>
      <c r="C770" s="74"/>
      <c r="D770" s="75"/>
      <c r="E770" s="76"/>
      <c r="F770" s="75"/>
      <c r="G770" s="62"/>
      <c r="H770" s="63" t="str">
        <f t="shared" si="1"/>
        <v/>
      </c>
      <c r="I770" s="55"/>
    </row>
    <row r="771">
      <c r="A771" s="67"/>
      <c r="B771" s="73"/>
      <c r="C771" s="74"/>
      <c r="D771" s="75"/>
      <c r="E771" s="76"/>
      <c r="F771" s="75"/>
      <c r="G771" s="62"/>
      <c r="H771" s="63" t="str">
        <f t="shared" si="1"/>
        <v/>
      </c>
      <c r="I771" s="55"/>
    </row>
    <row r="772">
      <c r="A772" s="67"/>
      <c r="B772" s="73"/>
      <c r="C772" s="74"/>
      <c r="D772" s="75"/>
      <c r="E772" s="76"/>
      <c r="F772" s="75"/>
      <c r="G772" s="62"/>
      <c r="H772" s="63" t="str">
        <f t="shared" si="1"/>
        <v/>
      </c>
      <c r="I772" s="55"/>
    </row>
    <row r="773">
      <c r="A773" s="67"/>
      <c r="B773" s="73"/>
      <c r="C773" s="74"/>
      <c r="D773" s="75"/>
      <c r="E773" s="76"/>
      <c r="F773" s="75"/>
      <c r="G773" s="62"/>
      <c r="H773" s="63" t="str">
        <f t="shared" si="1"/>
        <v/>
      </c>
      <c r="I773" s="55"/>
    </row>
    <row r="774">
      <c r="A774" s="67"/>
      <c r="B774" s="73"/>
      <c r="C774" s="74"/>
      <c r="D774" s="75"/>
      <c r="E774" s="76"/>
      <c r="F774" s="75"/>
      <c r="G774" s="62"/>
      <c r="H774" s="63" t="str">
        <f t="shared" si="1"/>
        <v/>
      </c>
      <c r="I774" s="55"/>
    </row>
    <row r="775">
      <c r="A775" s="67"/>
      <c r="B775" s="73"/>
      <c r="C775" s="74"/>
      <c r="D775" s="75"/>
      <c r="E775" s="76"/>
      <c r="F775" s="75"/>
      <c r="G775" s="62"/>
      <c r="H775" s="63" t="str">
        <f t="shared" si="1"/>
        <v/>
      </c>
      <c r="I775" s="55"/>
    </row>
    <row r="776">
      <c r="A776" s="67"/>
      <c r="B776" s="73"/>
      <c r="C776" s="74"/>
      <c r="D776" s="75"/>
      <c r="E776" s="76"/>
      <c r="F776" s="75"/>
      <c r="G776" s="62"/>
      <c r="H776" s="63" t="str">
        <f t="shared" si="1"/>
        <v/>
      </c>
      <c r="I776" s="55"/>
    </row>
    <row r="777">
      <c r="A777" s="67"/>
      <c r="B777" s="73"/>
      <c r="C777" s="74"/>
      <c r="D777" s="75"/>
      <c r="E777" s="76"/>
      <c r="F777" s="75"/>
      <c r="G777" s="62"/>
      <c r="H777" s="63" t="str">
        <f t="shared" si="1"/>
        <v/>
      </c>
      <c r="I777" s="55"/>
    </row>
    <row r="778">
      <c r="A778" s="67"/>
      <c r="B778" s="73"/>
      <c r="C778" s="74"/>
      <c r="D778" s="75"/>
      <c r="E778" s="76"/>
      <c r="F778" s="75"/>
      <c r="G778" s="62"/>
      <c r="H778" s="63" t="str">
        <f t="shared" si="1"/>
        <v/>
      </c>
      <c r="I778" s="55"/>
    </row>
    <row r="779">
      <c r="A779" s="67"/>
      <c r="B779" s="73"/>
      <c r="C779" s="74"/>
      <c r="D779" s="75"/>
      <c r="E779" s="76"/>
      <c r="F779" s="75"/>
      <c r="G779" s="62"/>
      <c r="H779" s="63" t="str">
        <f t="shared" si="1"/>
        <v/>
      </c>
      <c r="I779" s="55"/>
    </row>
    <row r="780">
      <c r="A780" s="67"/>
      <c r="B780" s="73"/>
      <c r="C780" s="74"/>
      <c r="D780" s="75"/>
      <c r="E780" s="76"/>
      <c r="F780" s="75"/>
      <c r="G780" s="62"/>
      <c r="H780" s="63" t="str">
        <f t="shared" si="1"/>
        <v/>
      </c>
      <c r="I780" s="55"/>
    </row>
    <row r="781">
      <c r="A781" s="67"/>
      <c r="B781" s="73"/>
      <c r="C781" s="74"/>
      <c r="D781" s="75"/>
      <c r="E781" s="76"/>
      <c r="F781" s="75"/>
      <c r="G781" s="62"/>
      <c r="H781" s="63" t="str">
        <f t="shared" si="1"/>
        <v/>
      </c>
      <c r="I781" s="55"/>
    </row>
    <row r="782">
      <c r="A782" s="67"/>
      <c r="B782" s="73"/>
      <c r="C782" s="74"/>
      <c r="D782" s="75"/>
      <c r="E782" s="76"/>
      <c r="F782" s="75"/>
      <c r="G782" s="62"/>
      <c r="H782" s="63" t="str">
        <f t="shared" si="1"/>
        <v/>
      </c>
      <c r="I782" s="55"/>
    </row>
    <row r="783">
      <c r="A783" s="67"/>
      <c r="B783" s="73"/>
      <c r="C783" s="74"/>
      <c r="D783" s="75"/>
      <c r="E783" s="76"/>
      <c r="F783" s="75"/>
      <c r="G783" s="62"/>
      <c r="H783" s="63" t="str">
        <f t="shared" si="1"/>
        <v/>
      </c>
      <c r="I783" s="55"/>
    </row>
    <row r="784">
      <c r="A784" s="67"/>
      <c r="B784" s="73"/>
      <c r="C784" s="74"/>
      <c r="D784" s="75"/>
      <c r="E784" s="76"/>
      <c r="F784" s="75"/>
      <c r="G784" s="62"/>
      <c r="H784" s="63" t="str">
        <f t="shared" si="1"/>
        <v/>
      </c>
      <c r="I784" s="55"/>
    </row>
    <row r="785">
      <c r="A785" s="67"/>
      <c r="B785" s="73"/>
      <c r="C785" s="74"/>
      <c r="D785" s="75"/>
      <c r="E785" s="76"/>
      <c r="F785" s="75"/>
      <c r="G785" s="62"/>
      <c r="H785" s="63" t="str">
        <f t="shared" si="1"/>
        <v/>
      </c>
      <c r="I785" s="55"/>
    </row>
    <row r="786">
      <c r="A786" s="67"/>
      <c r="B786" s="73"/>
      <c r="C786" s="74"/>
      <c r="D786" s="75"/>
      <c r="E786" s="76"/>
      <c r="F786" s="75"/>
      <c r="G786" s="62"/>
      <c r="H786" s="63" t="str">
        <f t="shared" si="1"/>
        <v/>
      </c>
      <c r="I786" s="55"/>
    </row>
    <row r="787">
      <c r="A787" s="67"/>
      <c r="B787" s="73"/>
      <c r="C787" s="74"/>
      <c r="D787" s="75"/>
      <c r="E787" s="76"/>
      <c r="F787" s="75"/>
      <c r="G787" s="62"/>
      <c r="H787" s="63" t="str">
        <f t="shared" si="1"/>
        <v/>
      </c>
      <c r="I787" s="55"/>
    </row>
    <row r="788">
      <c r="A788" s="67"/>
      <c r="B788" s="73"/>
      <c r="C788" s="74"/>
      <c r="D788" s="75"/>
      <c r="E788" s="76"/>
      <c r="F788" s="75"/>
      <c r="G788" s="62"/>
      <c r="H788" s="63" t="str">
        <f t="shared" si="1"/>
        <v/>
      </c>
      <c r="I788" s="55"/>
    </row>
    <row r="789">
      <c r="A789" s="67"/>
      <c r="B789" s="73"/>
      <c r="C789" s="74"/>
      <c r="D789" s="75"/>
      <c r="E789" s="76"/>
      <c r="F789" s="75"/>
      <c r="G789" s="62"/>
      <c r="H789" s="63" t="str">
        <f t="shared" si="1"/>
        <v/>
      </c>
      <c r="I789" s="55"/>
    </row>
    <row r="790">
      <c r="A790" s="67"/>
      <c r="B790" s="73"/>
      <c r="C790" s="74"/>
      <c r="D790" s="75"/>
      <c r="E790" s="76"/>
      <c r="F790" s="75"/>
      <c r="G790" s="62"/>
      <c r="H790" s="63" t="str">
        <f t="shared" si="1"/>
        <v/>
      </c>
      <c r="I790" s="55"/>
    </row>
    <row r="791">
      <c r="A791" s="67"/>
      <c r="B791" s="73"/>
      <c r="C791" s="74"/>
      <c r="D791" s="75"/>
      <c r="E791" s="76"/>
      <c r="F791" s="75"/>
      <c r="G791" s="62"/>
      <c r="H791" s="63" t="str">
        <f t="shared" si="1"/>
        <v/>
      </c>
      <c r="I791" s="55"/>
    </row>
    <row r="792">
      <c r="A792" s="67"/>
      <c r="B792" s="73"/>
      <c r="C792" s="74"/>
      <c r="D792" s="75"/>
      <c r="E792" s="76"/>
      <c r="F792" s="75"/>
      <c r="G792" s="62"/>
      <c r="H792" s="63" t="str">
        <f t="shared" si="1"/>
        <v/>
      </c>
      <c r="I792" s="55"/>
    </row>
    <row r="793">
      <c r="A793" s="67"/>
      <c r="B793" s="73"/>
      <c r="C793" s="74"/>
      <c r="D793" s="75"/>
      <c r="E793" s="76"/>
      <c r="F793" s="75"/>
      <c r="G793" s="62"/>
      <c r="H793" s="63" t="str">
        <f t="shared" si="1"/>
        <v/>
      </c>
      <c r="I793" s="55"/>
    </row>
    <row r="794">
      <c r="A794" s="67"/>
      <c r="B794" s="73"/>
      <c r="C794" s="74"/>
      <c r="D794" s="75"/>
      <c r="E794" s="76"/>
      <c r="F794" s="75"/>
      <c r="G794" s="62"/>
      <c r="H794" s="63" t="str">
        <f t="shared" si="1"/>
        <v/>
      </c>
      <c r="I794" s="55"/>
    </row>
    <row r="795">
      <c r="A795" s="67"/>
      <c r="B795" s="73"/>
      <c r="C795" s="74"/>
      <c r="D795" s="75"/>
      <c r="E795" s="76"/>
      <c r="F795" s="75"/>
      <c r="G795" s="62"/>
      <c r="H795" s="63" t="str">
        <f t="shared" si="1"/>
        <v/>
      </c>
      <c r="I795" s="55"/>
    </row>
    <row r="796">
      <c r="A796" s="67"/>
      <c r="B796" s="73"/>
      <c r="C796" s="74"/>
      <c r="D796" s="75"/>
      <c r="E796" s="76"/>
      <c r="F796" s="75"/>
      <c r="G796" s="62"/>
      <c r="H796" s="63" t="str">
        <f t="shared" si="1"/>
        <v/>
      </c>
      <c r="I796" s="55"/>
    </row>
    <row r="797">
      <c r="A797" s="67"/>
      <c r="B797" s="73"/>
      <c r="C797" s="74"/>
      <c r="D797" s="75"/>
      <c r="E797" s="76"/>
      <c r="F797" s="75"/>
      <c r="G797" s="62"/>
      <c r="H797" s="63" t="str">
        <f t="shared" si="1"/>
        <v/>
      </c>
      <c r="I797" s="55"/>
    </row>
    <row r="798">
      <c r="A798" s="67"/>
      <c r="B798" s="73"/>
      <c r="C798" s="74"/>
      <c r="D798" s="75"/>
      <c r="E798" s="76"/>
      <c r="F798" s="75"/>
      <c r="G798" s="62"/>
      <c r="H798" s="63" t="str">
        <f t="shared" si="1"/>
        <v/>
      </c>
      <c r="I798" s="55"/>
    </row>
    <row r="799">
      <c r="A799" s="67"/>
      <c r="B799" s="73"/>
      <c r="C799" s="74"/>
      <c r="D799" s="75"/>
      <c r="E799" s="76"/>
      <c r="F799" s="75"/>
      <c r="G799" s="62"/>
      <c r="H799" s="63" t="str">
        <f t="shared" si="1"/>
        <v/>
      </c>
      <c r="I799" s="55"/>
    </row>
    <row r="800">
      <c r="A800" s="67"/>
      <c r="B800" s="73"/>
      <c r="C800" s="74"/>
      <c r="D800" s="75"/>
      <c r="E800" s="76"/>
      <c r="F800" s="75"/>
      <c r="G800" s="62"/>
      <c r="H800" s="63" t="str">
        <f t="shared" si="1"/>
        <v/>
      </c>
      <c r="I800" s="55"/>
    </row>
    <row r="801">
      <c r="A801" s="67"/>
      <c r="B801" s="73"/>
      <c r="C801" s="74"/>
      <c r="D801" s="75"/>
      <c r="E801" s="76"/>
      <c r="F801" s="75"/>
      <c r="G801" s="62"/>
      <c r="H801" s="63" t="str">
        <f t="shared" si="1"/>
        <v/>
      </c>
      <c r="I801" s="55"/>
    </row>
    <row r="802">
      <c r="A802" s="67"/>
      <c r="B802" s="73"/>
      <c r="C802" s="74"/>
      <c r="D802" s="75"/>
      <c r="E802" s="76"/>
      <c r="F802" s="75"/>
      <c r="G802" s="62"/>
      <c r="H802" s="63" t="str">
        <f t="shared" si="1"/>
        <v/>
      </c>
      <c r="I802" s="55"/>
    </row>
    <row r="803">
      <c r="A803" s="67"/>
      <c r="B803" s="73"/>
      <c r="C803" s="74"/>
      <c r="D803" s="75"/>
      <c r="E803" s="76"/>
      <c r="F803" s="75"/>
      <c r="G803" s="62"/>
      <c r="H803" s="63" t="str">
        <f t="shared" si="1"/>
        <v/>
      </c>
      <c r="I803" s="55"/>
    </row>
    <row r="804">
      <c r="A804" s="67"/>
      <c r="B804" s="73"/>
      <c r="C804" s="74"/>
      <c r="D804" s="75"/>
      <c r="E804" s="76"/>
      <c r="F804" s="75"/>
      <c r="G804" s="62"/>
      <c r="H804" s="63" t="str">
        <f t="shared" si="1"/>
        <v/>
      </c>
      <c r="I804" s="55"/>
    </row>
    <row r="805">
      <c r="A805" s="67"/>
      <c r="B805" s="73"/>
      <c r="C805" s="74"/>
      <c r="D805" s="75"/>
      <c r="E805" s="76"/>
      <c r="F805" s="75"/>
      <c r="G805" s="62"/>
      <c r="H805" s="63" t="str">
        <f t="shared" si="1"/>
        <v/>
      </c>
      <c r="I805" s="55"/>
    </row>
    <row r="806">
      <c r="A806" s="67"/>
      <c r="B806" s="73"/>
      <c r="C806" s="74"/>
      <c r="D806" s="75"/>
      <c r="E806" s="76"/>
      <c r="F806" s="75"/>
      <c r="G806" s="62"/>
      <c r="H806" s="63" t="str">
        <f t="shared" si="1"/>
        <v/>
      </c>
      <c r="I806" s="55"/>
    </row>
    <row r="807">
      <c r="A807" s="67"/>
      <c r="B807" s="73"/>
      <c r="C807" s="74"/>
      <c r="D807" s="75"/>
      <c r="E807" s="76"/>
      <c r="F807" s="75"/>
      <c r="G807" s="62"/>
      <c r="H807" s="63" t="str">
        <f t="shared" si="1"/>
        <v/>
      </c>
      <c r="I807" s="55"/>
    </row>
    <row r="808">
      <c r="A808" s="67"/>
      <c r="B808" s="73"/>
      <c r="C808" s="74"/>
      <c r="D808" s="75"/>
      <c r="E808" s="76"/>
      <c r="F808" s="75"/>
      <c r="G808" s="62"/>
      <c r="H808" s="63" t="str">
        <f t="shared" si="1"/>
        <v/>
      </c>
      <c r="I808" s="55"/>
    </row>
    <row r="809">
      <c r="A809" s="67"/>
      <c r="B809" s="73"/>
      <c r="C809" s="74"/>
      <c r="D809" s="75"/>
      <c r="E809" s="76"/>
      <c r="F809" s="75"/>
      <c r="G809" s="62"/>
      <c r="H809" s="63" t="str">
        <f t="shared" si="1"/>
        <v/>
      </c>
      <c r="I809" s="55"/>
    </row>
    <row r="810">
      <c r="A810" s="67"/>
      <c r="B810" s="73"/>
      <c r="C810" s="74"/>
      <c r="D810" s="75"/>
      <c r="E810" s="76"/>
      <c r="F810" s="75"/>
      <c r="G810" s="62"/>
      <c r="H810" s="63" t="str">
        <f t="shared" si="1"/>
        <v/>
      </c>
      <c r="I810" s="55"/>
    </row>
    <row r="811">
      <c r="A811" s="67"/>
      <c r="B811" s="73"/>
      <c r="C811" s="74"/>
      <c r="D811" s="75"/>
      <c r="E811" s="76"/>
      <c r="F811" s="75"/>
      <c r="G811" s="62"/>
      <c r="H811" s="63" t="str">
        <f t="shared" si="1"/>
        <v/>
      </c>
      <c r="I811" s="55"/>
    </row>
    <row r="812">
      <c r="A812" s="67"/>
      <c r="B812" s="73"/>
      <c r="C812" s="74"/>
      <c r="D812" s="75"/>
      <c r="E812" s="76"/>
      <c r="F812" s="75"/>
      <c r="G812" s="62"/>
      <c r="H812" s="63" t="str">
        <f t="shared" si="1"/>
        <v/>
      </c>
      <c r="I812" s="55"/>
    </row>
    <row r="813">
      <c r="A813" s="67"/>
      <c r="B813" s="73"/>
      <c r="C813" s="74"/>
      <c r="D813" s="75"/>
      <c r="E813" s="76"/>
      <c r="F813" s="75"/>
      <c r="G813" s="62"/>
      <c r="H813" s="63" t="str">
        <f t="shared" si="1"/>
        <v/>
      </c>
      <c r="I813" s="55"/>
    </row>
    <row r="814">
      <c r="A814" s="67"/>
      <c r="B814" s="73"/>
      <c r="C814" s="74"/>
      <c r="D814" s="75"/>
      <c r="E814" s="76"/>
      <c r="F814" s="75"/>
      <c r="G814" s="62"/>
      <c r="H814" s="63" t="str">
        <f t="shared" si="1"/>
        <v/>
      </c>
      <c r="I814" s="55"/>
    </row>
    <row r="815">
      <c r="A815" s="67"/>
      <c r="B815" s="73"/>
      <c r="C815" s="74"/>
      <c r="D815" s="75"/>
      <c r="E815" s="76"/>
      <c r="F815" s="75"/>
      <c r="G815" s="62"/>
      <c r="H815" s="63" t="str">
        <f t="shared" si="1"/>
        <v/>
      </c>
      <c r="I815" s="55"/>
    </row>
    <row r="816">
      <c r="A816" s="67"/>
      <c r="B816" s="73"/>
      <c r="C816" s="74"/>
      <c r="D816" s="75"/>
      <c r="E816" s="76"/>
      <c r="F816" s="75"/>
      <c r="G816" s="62"/>
      <c r="H816" s="63" t="str">
        <f t="shared" si="1"/>
        <v/>
      </c>
      <c r="I816" s="55"/>
    </row>
    <row r="817">
      <c r="A817" s="67"/>
      <c r="B817" s="73"/>
      <c r="C817" s="74"/>
      <c r="D817" s="75"/>
      <c r="E817" s="76"/>
      <c r="F817" s="75"/>
      <c r="G817" s="62"/>
      <c r="H817" s="63" t="str">
        <f t="shared" si="1"/>
        <v/>
      </c>
      <c r="I817" s="55"/>
    </row>
    <row r="818">
      <c r="A818" s="67"/>
      <c r="B818" s="73"/>
      <c r="C818" s="74"/>
      <c r="D818" s="75"/>
      <c r="E818" s="76"/>
      <c r="F818" s="75"/>
      <c r="G818" s="62"/>
      <c r="H818" s="63" t="str">
        <f t="shared" si="1"/>
        <v/>
      </c>
      <c r="I818" s="55"/>
    </row>
    <row r="819">
      <c r="A819" s="67"/>
      <c r="B819" s="73"/>
      <c r="C819" s="74"/>
      <c r="D819" s="75"/>
      <c r="E819" s="76"/>
      <c r="F819" s="75"/>
      <c r="G819" s="62"/>
      <c r="H819" s="63" t="str">
        <f t="shared" si="1"/>
        <v/>
      </c>
      <c r="I819" s="55"/>
    </row>
    <row r="820">
      <c r="A820" s="67"/>
      <c r="B820" s="73"/>
      <c r="C820" s="74"/>
      <c r="D820" s="75"/>
      <c r="E820" s="76"/>
      <c r="F820" s="75"/>
      <c r="G820" s="62"/>
      <c r="H820" s="63" t="str">
        <f t="shared" si="1"/>
        <v/>
      </c>
      <c r="I820" s="55"/>
    </row>
    <row r="821">
      <c r="A821" s="67"/>
      <c r="B821" s="73"/>
      <c r="C821" s="74"/>
      <c r="D821" s="75"/>
      <c r="E821" s="76"/>
      <c r="F821" s="75"/>
      <c r="G821" s="62"/>
      <c r="H821" s="63" t="str">
        <f t="shared" si="1"/>
        <v/>
      </c>
      <c r="I821" s="55"/>
    </row>
    <row r="822">
      <c r="A822" s="67"/>
      <c r="B822" s="73"/>
      <c r="C822" s="74"/>
      <c r="D822" s="75"/>
      <c r="E822" s="76"/>
      <c r="F822" s="75"/>
      <c r="G822" s="62"/>
      <c r="H822" s="63" t="str">
        <f t="shared" si="1"/>
        <v/>
      </c>
      <c r="I822" s="55"/>
    </row>
    <row r="823">
      <c r="A823" s="67"/>
      <c r="B823" s="73"/>
      <c r="C823" s="74"/>
      <c r="D823" s="75"/>
      <c r="E823" s="76"/>
      <c r="F823" s="75"/>
      <c r="G823" s="62"/>
      <c r="H823" s="63" t="str">
        <f t="shared" si="1"/>
        <v/>
      </c>
      <c r="I823" s="55"/>
    </row>
    <row r="824">
      <c r="A824" s="67"/>
      <c r="B824" s="73"/>
      <c r="C824" s="74"/>
      <c r="D824" s="75"/>
      <c r="E824" s="76"/>
      <c r="F824" s="75"/>
      <c r="G824" s="62"/>
      <c r="H824" s="63" t="str">
        <f t="shared" si="1"/>
        <v/>
      </c>
      <c r="I824" s="55"/>
    </row>
    <row r="825">
      <c r="A825" s="67"/>
      <c r="B825" s="73"/>
      <c r="C825" s="74"/>
      <c r="D825" s="75"/>
      <c r="E825" s="76"/>
      <c r="F825" s="75"/>
      <c r="G825" s="62"/>
      <c r="H825" s="63" t="str">
        <f t="shared" si="1"/>
        <v/>
      </c>
      <c r="I825" s="55"/>
    </row>
    <row r="826">
      <c r="A826" s="67"/>
      <c r="B826" s="73"/>
      <c r="C826" s="74"/>
      <c r="D826" s="75"/>
      <c r="E826" s="76"/>
      <c r="F826" s="75"/>
      <c r="G826" s="62"/>
      <c r="H826" s="63" t="str">
        <f t="shared" si="1"/>
        <v/>
      </c>
      <c r="I826" s="55"/>
    </row>
    <row r="827">
      <c r="A827" s="67"/>
      <c r="B827" s="73"/>
      <c r="C827" s="74"/>
      <c r="D827" s="75"/>
      <c r="E827" s="76"/>
      <c r="F827" s="75"/>
      <c r="G827" s="62"/>
      <c r="H827" s="63" t="str">
        <f t="shared" si="1"/>
        <v/>
      </c>
      <c r="I827" s="55"/>
    </row>
    <row r="828">
      <c r="A828" s="67"/>
      <c r="B828" s="73"/>
      <c r="C828" s="74"/>
      <c r="D828" s="75"/>
      <c r="E828" s="76"/>
      <c r="F828" s="75"/>
      <c r="G828" s="62"/>
      <c r="H828" s="63" t="str">
        <f t="shared" si="1"/>
        <v/>
      </c>
      <c r="I828" s="55"/>
    </row>
    <row r="829">
      <c r="A829" s="67"/>
      <c r="B829" s="73"/>
      <c r="C829" s="74"/>
      <c r="D829" s="75"/>
      <c r="E829" s="76"/>
      <c r="F829" s="75"/>
      <c r="G829" s="62"/>
      <c r="H829" s="63" t="str">
        <f t="shared" si="1"/>
        <v/>
      </c>
      <c r="I829" s="55"/>
    </row>
    <row r="830">
      <c r="A830" s="67"/>
      <c r="B830" s="73"/>
      <c r="C830" s="74"/>
      <c r="D830" s="75"/>
      <c r="E830" s="76"/>
      <c r="F830" s="75"/>
      <c r="G830" s="62"/>
      <c r="H830" s="63" t="str">
        <f t="shared" si="1"/>
        <v/>
      </c>
      <c r="I830" s="55"/>
    </row>
    <row r="831">
      <c r="A831" s="67"/>
      <c r="B831" s="73"/>
      <c r="C831" s="74"/>
      <c r="D831" s="75"/>
      <c r="E831" s="76"/>
      <c r="F831" s="75"/>
      <c r="G831" s="62"/>
      <c r="H831" s="63" t="str">
        <f t="shared" si="1"/>
        <v/>
      </c>
      <c r="I831" s="55"/>
    </row>
    <row r="832">
      <c r="A832" s="67"/>
      <c r="B832" s="73"/>
      <c r="C832" s="74"/>
      <c r="D832" s="75"/>
      <c r="E832" s="76"/>
      <c r="F832" s="75"/>
      <c r="G832" s="62"/>
      <c r="H832" s="63" t="str">
        <f t="shared" si="1"/>
        <v/>
      </c>
      <c r="I832" s="55"/>
    </row>
    <row r="833">
      <c r="A833" s="67"/>
      <c r="B833" s="73"/>
      <c r="C833" s="74"/>
      <c r="D833" s="75"/>
      <c r="E833" s="76"/>
      <c r="F833" s="75"/>
      <c r="G833" s="62"/>
      <c r="H833" s="63" t="str">
        <f t="shared" si="1"/>
        <v/>
      </c>
      <c r="I833" s="55"/>
    </row>
    <row r="834">
      <c r="A834" s="67"/>
      <c r="B834" s="73"/>
      <c r="C834" s="74"/>
      <c r="D834" s="75"/>
      <c r="E834" s="76"/>
      <c r="F834" s="75"/>
      <c r="G834" s="62"/>
      <c r="H834" s="63" t="str">
        <f t="shared" si="1"/>
        <v/>
      </c>
      <c r="I834" s="55"/>
    </row>
    <row r="835">
      <c r="A835" s="67"/>
      <c r="B835" s="73"/>
      <c r="C835" s="74"/>
      <c r="D835" s="75"/>
      <c r="E835" s="76"/>
      <c r="F835" s="75"/>
      <c r="G835" s="62"/>
      <c r="H835" s="63" t="str">
        <f t="shared" si="1"/>
        <v/>
      </c>
      <c r="I835" s="55"/>
    </row>
    <row r="836">
      <c r="A836" s="67"/>
      <c r="B836" s="73"/>
      <c r="C836" s="74"/>
      <c r="D836" s="75"/>
      <c r="E836" s="76"/>
      <c r="F836" s="75"/>
      <c r="G836" s="62"/>
      <c r="H836" s="63" t="str">
        <f t="shared" si="1"/>
        <v/>
      </c>
      <c r="I836" s="55"/>
    </row>
    <row r="837">
      <c r="A837" s="67"/>
      <c r="B837" s="73"/>
      <c r="C837" s="74"/>
      <c r="D837" s="75"/>
      <c r="E837" s="76"/>
      <c r="F837" s="75"/>
      <c r="G837" s="62"/>
      <c r="H837" s="63" t="str">
        <f t="shared" si="1"/>
        <v/>
      </c>
      <c r="I837" s="55"/>
    </row>
    <row r="838">
      <c r="A838" s="67"/>
      <c r="B838" s="73"/>
      <c r="C838" s="74"/>
      <c r="D838" s="75"/>
      <c r="E838" s="76"/>
      <c r="F838" s="75"/>
      <c r="G838" s="62"/>
      <c r="H838" s="63" t="str">
        <f t="shared" si="1"/>
        <v/>
      </c>
      <c r="I838" s="55"/>
    </row>
    <row r="839">
      <c r="A839" s="67"/>
      <c r="B839" s="73"/>
      <c r="C839" s="74"/>
      <c r="D839" s="75"/>
      <c r="E839" s="76"/>
      <c r="F839" s="75"/>
      <c r="G839" s="62"/>
      <c r="H839" s="63" t="str">
        <f t="shared" si="1"/>
        <v/>
      </c>
      <c r="I839" s="55"/>
    </row>
    <row r="840">
      <c r="A840" s="67"/>
      <c r="B840" s="73"/>
      <c r="C840" s="74"/>
      <c r="D840" s="75"/>
      <c r="E840" s="76"/>
      <c r="F840" s="75"/>
      <c r="G840" s="62"/>
      <c r="H840" s="63" t="str">
        <f t="shared" si="1"/>
        <v/>
      </c>
      <c r="I840" s="55"/>
    </row>
    <row r="841">
      <c r="A841" s="67"/>
      <c r="B841" s="73"/>
      <c r="C841" s="74"/>
      <c r="D841" s="75"/>
      <c r="E841" s="76"/>
      <c r="F841" s="75"/>
      <c r="G841" s="62"/>
      <c r="H841" s="63" t="str">
        <f t="shared" si="1"/>
        <v/>
      </c>
      <c r="I841" s="55"/>
    </row>
    <row r="842">
      <c r="A842" s="67"/>
      <c r="B842" s="73"/>
      <c r="C842" s="74"/>
      <c r="D842" s="75"/>
      <c r="E842" s="76"/>
      <c r="F842" s="75"/>
      <c r="G842" s="62"/>
      <c r="H842" s="63" t="str">
        <f t="shared" si="1"/>
        <v/>
      </c>
      <c r="I842" s="55"/>
    </row>
    <row r="843">
      <c r="A843" s="67"/>
      <c r="B843" s="73"/>
      <c r="C843" s="74"/>
      <c r="D843" s="75"/>
      <c r="E843" s="76"/>
      <c r="F843" s="75"/>
      <c r="G843" s="62"/>
      <c r="H843" s="63" t="str">
        <f t="shared" si="1"/>
        <v/>
      </c>
      <c r="I843" s="55"/>
    </row>
    <row r="844">
      <c r="A844" s="67"/>
      <c r="B844" s="73"/>
      <c r="C844" s="74"/>
      <c r="D844" s="75"/>
      <c r="E844" s="76"/>
      <c r="F844" s="75"/>
      <c r="G844" s="62"/>
      <c r="H844" s="63" t="str">
        <f t="shared" si="1"/>
        <v/>
      </c>
      <c r="I844" s="55"/>
    </row>
    <row r="845">
      <c r="A845" s="67"/>
      <c r="B845" s="73"/>
      <c r="C845" s="74"/>
      <c r="D845" s="75"/>
      <c r="E845" s="76"/>
      <c r="F845" s="75"/>
      <c r="G845" s="62"/>
      <c r="H845" s="63" t="str">
        <f t="shared" si="1"/>
        <v/>
      </c>
      <c r="I845" s="55"/>
    </row>
    <row r="846">
      <c r="A846" s="67"/>
      <c r="B846" s="73"/>
      <c r="C846" s="74"/>
      <c r="D846" s="75"/>
      <c r="E846" s="76"/>
      <c r="F846" s="75"/>
      <c r="G846" s="62"/>
      <c r="H846" s="63" t="str">
        <f t="shared" si="1"/>
        <v/>
      </c>
      <c r="I846" s="55"/>
    </row>
    <row r="847">
      <c r="A847" s="67"/>
      <c r="B847" s="73"/>
      <c r="C847" s="74"/>
      <c r="D847" s="75"/>
      <c r="E847" s="76"/>
      <c r="F847" s="75"/>
      <c r="G847" s="62"/>
      <c r="H847" s="63" t="str">
        <f t="shared" si="1"/>
        <v/>
      </c>
      <c r="I847" s="55"/>
    </row>
    <row r="848">
      <c r="A848" s="67"/>
      <c r="B848" s="73"/>
      <c r="C848" s="74"/>
      <c r="D848" s="75"/>
      <c r="E848" s="76"/>
      <c r="F848" s="75"/>
      <c r="G848" s="62"/>
      <c r="H848" s="63" t="str">
        <f t="shared" si="1"/>
        <v/>
      </c>
      <c r="I848" s="55"/>
    </row>
    <row r="849">
      <c r="A849" s="67"/>
      <c r="B849" s="73"/>
      <c r="C849" s="74"/>
      <c r="D849" s="75"/>
      <c r="E849" s="76"/>
      <c r="F849" s="75"/>
      <c r="G849" s="62"/>
      <c r="H849" s="63" t="str">
        <f t="shared" si="1"/>
        <v/>
      </c>
      <c r="I849" s="55"/>
    </row>
    <row r="850">
      <c r="A850" s="67"/>
      <c r="B850" s="73"/>
      <c r="C850" s="74"/>
      <c r="D850" s="75"/>
      <c r="E850" s="76"/>
      <c r="F850" s="75"/>
      <c r="G850" s="62"/>
      <c r="H850" s="63" t="str">
        <f t="shared" si="1"/>
        <v/>
      </c>
      <c r="I850" s="55"/>
    </row>
    <row r="851">
      <c r="A851" s="67"/>
      <c r="B851" s="73"/>
      <c r="C851" s="74"/>
      <c r="D851" s="75"/>
      <c r="E851" s="76"/>
      <c r="F851" s="75"/>
      <c r="G851" s="62"/>
      <c r="H851" s="63" t="str">
        <f t="shared" si="1"/>
        <v/>
      </c>
      <c r="I851" s="55"/>
    </row>
    <row r="852">
      <c r="A852" s="67"/>
      <c r="B852" s="73"/>
      <c r="C852" s="74"/>
      <c r="D852" s="75"/>
      <c r="E852" s="76"/>
      <c r="F852" s="75"/>
      <c r="G852" s="62"/>
      <c r="H852" s="63" t="str">
        <f t="shared" si="1"/>
        <v/>
      </c>
      <c r="I852" s="55"/>
    </row>
    <row r="853">
      <c r="A853" s="67"/>
      <c r="B853" s="73"/>
      <c r="C853" s="74"/>
      <c r="D853" s="75"/>
      <c r="E853" s="76"/>
      <c r="F853" s="75"/>
      <c r="G853" s="62"/>
      <c r="H853" s="63" t="str">
        <f t="shared" si="1"/>
        <v/>
      </c>
      <c r="I853" s="55"/>
    </row>
    <row r="854">
      <c r="A854" s="67"/>
      <c r="B854" s="73"/>
      <c r="C854" s="74"/>
      <c r="D854" s="75"/>
      <c r="E854" s="76"/>
      <c r="F854" s="75"/>
      <c r="G854" s="62"/>
      <c r="H854" s="63" t="str">
        <f t="shared" si="1"/>
        <v/>
      </c>
      <c r="I854" s="55"/>
    </row>
    <row r="855">
      <c r="A855" s="67"/>
      <c r="B855" s="73"/>
      <c r="C855" s="74"/>
      <c r="D855" s="75"/>
      <c r="E855" s="76"/>
      <c r="F855" s="75"/>
      <c r="G855" s="62"/>
      <c r="H855" s="63" t="str">
        <f t="shared" si="1"/>
        <v/>
      </c>
      <c r="I855" s="55"/>
    </row>
    <row r="856">
      <c r="A856" s="67"/>
      <c r="B856" s="73"/>
      <c r="C856" s="74"/>
      <c r="D856" s="75"/>
      <c r="E856" s="76"/>
      <c r="F856" s="75"/>
      <c r="G856" s="62"/>
      <c r="H856" s="63" t="str">
        <f t="shared" si="1"/>
        <v/>
      </c>
      <c r="I856" s="55"/>
    </row>
    <row r="857">
      <c r="A857" s="67"/>
      <c r="B857" s="73"/>
      <c r="C857" s="74"/>
      <c r="D857" s="75"/>
      <c r="E857" s="76"/>
      <c r="F857" s="75"/>
      <c r="G857" s="62"/>
      <c r="H857" s="63" t="str">
        <f t="shared" si="1"/>
        <v/>
      </c>
      <c r="I857" s="55"/>
    </row>
    <row r="858">
      <c r="A858" s="67"/>
      <c r="B858" s="73"/>
      <c r="C858" s="74"/>
      <c r="D858" s="75"/>
      <c r="E858" s="76"/>
      <c r="F858" s="75"/>
      <c r="G858" s="62"/>
      <c r="H858" s="63" t="str">
        <f t="shared" si="1"/>
        <v/>
      </c>
      <c r="I858" s="55"/>
    </row>
    <row r="859">
      <c r="A859" s="67"/>
      <c r="B859" s="73"/>
      <c r="C859" s="74"/>
      <c r="D859" s="75"/>
      <c r="E859" s="76"/>
      <c r="F859" s="75"/>
      <c r="G859" s="62"/>
      <c r="H859" s="63" t="str">
        <f t="shared" si="1"/>
        <v/>
      </c>
      <c r="I859" s="55"/>
    </row>
    <row r="860">
      <c r="A860" s="67"/>
      <c r="B860" s="73"/>
      <c r="C860" s="74"/>
      <c r="D860" s="75"/>
      <c r="E860" s="76"/>
      <c r="F860" s="75"/>
      <c r="G860" s="62"/>
      <c r="H860" s="63" t="str">
        <f t="shared" si="1"/>
        <v/>
      </c>
      <c r="I860" s="55"/>
    </row>
    <row r="861">
      <c r="A861" s="67"/>
      <c r="B861" s="73"/>
      <c r="C861" s="74"/>
      <c r="D861" s="75"/>
      <c r="E861" s="76"/>
      <c r="F861" s="75"/>
      <c r="G861" s="62"/>
      <c r="H861" s="63" t="str">
        <f t="shared" si="1"/>
        <v/>
      </c>
      <c r="I861" s="55"/>
    </row>
    <row r="862">
      <c r="A862" s="67"/>
      <c r="B862" s="73"/>
      <c r="C862" s="74"/>
      <c r="D862" s="75"/>
      <c r="E862" s="76"/>
      <c r="F862" s="75"/>
      <c r="G862" s="62"/>
      <c r="H862" s="63" t="str">
        <f t="shared" si="1"/>
        <v/>
      </c>
      <c r="I862" s="55"/>
    </row>
    <row r="863">
      <c r="A863" s="67"/>
      <c r="B863" s="73"/>
      <c r="C863" s="74"/>
      <c r="D863" s="75"/>
      <c r="E863" s="76"/>
      <c r="F863" s="75"/>
      <c r="G863" s="62"/>
      <c r="H863" s="63" t="str">
        <f t="shared" si="1"/>
        <v/>
      </c>
      <c r="I863" s="55"/>
    </row>
    <row r="864">
      <c r="A864" s="67"/>
      <c r="B864" s="73"/>
      <c r="C864" s="74"/>
      <c r="D864" s="75"/>
      <c r="E864" s="76"/>
      <c r="F864" s="75"/>
      <c r="G864" s="62"/>
      <c r="H864" s="63" t="str">
        <f t="shared" si="1"/>
        <v/>
      </c>
      <c r="I864" s="55"/>
    </row>
    <row r="865">
      <c r="A865" s="67"/>
      <c r="B865" s="73"/>
      <c r="C865" s="74"/>
      <c r="D865" s="75"/>
      <c r="E865" s="76"/>
      <c r="F865" s="75"/>
      <c r="G865" s="62"/>
      <c r="H865" s="63" t="str">
        <f t="shared" si="1"/>
        <v/>
      </c>
      <c r="I865" s="55"/>
    </row>
    <row r="866">
      <c r="A866" s="67"/>
      <c r="B866" s="73"/>
      <c r="C866" s="74"/>
      <c r="D866" s="75"/>
      <c r="E866" s="76"/>
      <c r="F866" s="75"/>
      <c r="G866" s="62"/>
      <c r="H866" s="63" t="str">
        <f t="shared" si="1"/>
        <v/>
      </c>
      <c r="I866" s="55"/>
    </row>
    <row r="867">
      <c r="A867" s="67"/>
      <c r="B867" s="73"/>
      <c r="C867" s="74"/>
      <c r="D867" s="75"/>
      <c r="E867" s="76"/>
      <c r="F867" s="75"/>
      <c r="G867" s="62"/>
      <c r="H867" s="63" t="str">
        <f t="shared" si="1"/>
        <v/>
      </c>
      <c r="I867" s="55"/>
    </row>
    <row r="868">
      <c r="A868" s="67"/>
      <c r="B868" s="73"/>
      <c r="C868" s="74"/>
      <c r="D868" s="75"/>
      <c r="E868" s="76"/>
      <c r="F868" s="75"/>
      <c r="G868" s="62"/>
      <c r="H868" s="63" t="str">
        <f t="shared" si="1"/>
        <v/>
      </c>
      <c r="I868" s="55"/>
    </row>
    <row r="869">
      <c r="A869" s="67"/>
      <c r="B869" s="73"/>
      <c r="C869" s="74"/>
      <c r="D869" s="75"/>
      <c r="E869" s="76"/>
      <c r="F869" s="75"/>
      <c r="G869" s="62"/>
      <c r="H869" s="63" t="str">
        <f t="shared" si="1"/>
        <v/>
      </c>
      <c r="I869" s="55"/>
    </row>
    <row r="870">
      <c r="A870" s="67"/>
      <c r="B870" s="73"/>
      <c r="C870" s="74"/>
      <c r="D870" s="75"/>
      <c r="E870" s="76"/>
      <c r="F870" s="75"/>
      <c r="G870" s="62"/>
      <c r="H870" s="63" t="str">
        <f t="shared" si="1"/>
        <v/>
      </c>
      <c r="I870" s="55"/>
    </row>
    <row r="871">
      <c r="A871" s="67"/>
      <c r="B871" s="73"/>
      <c r="C871" s="74"/>
      <c r="D871" s="75"/>
      <c r="E871" s="76"/>
      <c r="F871" s="75"/>
      <c r="G871" s="62"/>
      <c r="H871" s="63" t="str">
        <f t="shared" si="1"/>
        <v/>
      </c>
      <c r="I871" s="55"/>
    </row>
    <row r="872">
      <c r="A872" s="67"/>
      <c r="B872" s="73"/>
      <c r="C872" s="74"/>
      <c r="D872" s="75"/>
      <c r="E872" s="76"/>
      <c r="F872" s="75"/>
      <c r="G872" s="62"/>
      <c r="H872" s="63" t="str">
        <f t="shared" si="1"/>
        <v/>
      </c>
      <c r="I872" s="55"/>
    </row>
    <row r="873">
      <c r="A873" s="67"/>
      <c r="B873" s="73"/>
      <c r="C873" s="74"/>
      <c r="D873" s="75"/>
      <c r="E873" s="76"/>
      <c r="F873" s="75"/>
      <c r="G873" s="62"/>
      <c r="H873" s="63" t="str">
        <f t="shared" si="1"/>
        <v/>
      </c>
      <c r="I873" s="55"/>
    </row>
    <row r="874">
      <c r="A874" s="67"/>
      <c r="B874" s="73"/>
      <c r="C874" s="74"/>
      <c r="D874" s="75"/>
      <c r="E874" s="76"/>
      <c r="F874" s="75"/>
      <c r="G874" s="62"/>
      <c r="H874" s="63" t="str">
        <f t="shared" si="1"/>
        <v/>
      </c>
      <c r="I874" s="55"/>
    </row>
    <row r="875">
      <c r="A875" s="67"/>
      <c r="B875" s="73"/>
      <c r="C875" s="74"/>
      <c r="D875" s="75"/>
      <c r="E875" s="76"/>
      <c r="F875" s="75"/>
      <c r="G875" s="62"/>
      <c r="H875" s="63" t="str">
        <f t="shared" si="1"/>
        <v/>
      </c>
      <c r="I875" s="55"/>
    </row>
    <row r="876">
      <c r="A876" s="67"/>
      <c r="B876" s="73"/>
      <c r="C876" s="74"/>
      <c r="D876" s="75"/>
      <c r="E876" s="76"/>
      <c r="F876" s="75"/>
      <c r="G876" s="62"/>
      <c r="H876" s="63" t="str">
        <f t="shared" si="1"/>
        <v/>
      </c>
      <c r="I876" s="55"/>
    </row>
    <row r="877">
      <c r="A877" s="67"/>
      <c r="B877" s="73"/>
      <c r="C877" s="74"/>
      <c r="D877" s="75"/>
      <c r="E877" s="76"/>
      <c r="F877" s="75"/>
      <c r="G877" s="62"/>
      <c r="H877" s="63" t="str">
        <f t="shared" si="1"/>
        <v/>
      </c>
      <c r="I877" s="55"/>
    </row>
    <row r="878">
      <c r="A878" s="67"/>
      <c r="B878" s="73"/>
      <c r="C878" s="74"/>
      <c r="D878" s="75"/>
      <c r="E878" s="76"/>
      <c r="F878" s="75"/>
      <c r="G878" s="62"/>
      <c r="H878" s="63" t="str">
        <f t="shared" si="1"/>
        <v/>
      </c>
      <c r="I878" s="55"/>
    </row>
    <row r="879">
      <c r="A879" s="67"/>
      <c r="B879" s="73"/>
      <c r="C879" s="74"/>
      <c r="D879" s="75"/>
      <c r="E879" s="76"/>
      <c r="F879" s="75"/>
      <c r="G879" s="62"/>
      <c r="H879" s="63" t="str">
        <f t="shared" si="1"/>
        <v/>
      </c>
      <c r="I879" s="55"/>
    </row>
    <row r="880">
      <c r="A880" s="67"/>
      <c r="B880" s="73"/>
      <c r="C880" s="74"/>
      <c r="D880" s="75"/>
      <c r="E880" s="76"/>
      <c r="F880" s="75"/>
      <c r="G880" s="62"/>
      <c r="H880" s="63" t="str">
        <f t="shared" si="1"/>
        <v/>
      </c>
      <c r="I880" s="55"/>
    </row>
    <row r="881">
      <c r="A881" s="67"/>
      <c r="B881" s="73"/>
      <c r="C881" s="74"/>
      <c r="D881" s="75"/>
      <c r="E881" s="76"/>
      <c r="F881" s="75"/>
      <c r="G881" s="62"/>
      <c r="H881" s="63" t="str">
        <f t="shared" si="1"/>
        <v/>
      </c>
      <c r="I881" s="55"/>
    </row>
    <row r="882">
      <c r="A882" s="67"/>
      <c r="B882" s="73"/>
      <c r="C882" s="74"/>
      <c r="D882" s="75"/>
      <c r="E882" s="76"/>
      <c r="F882" s="75"/>
      <c r="G882" s="62"/>
      <c r="H882" s="63" t="str">
        <f t="shared" si="1"/>
        <v/>
      </c>
      <c r="I882" s="55"/>
    </row>
    <row r="883">
      <c r="A883" s="67"/>
      <c r="B883" s="73"/>
      <c r="C883" s="74"/>
      <c r="D883" s="75"/>
      <c r="E883" s="76"/>
      <c r="F883" s="75"/>
      <c r="G883" s="62"/>
      <c r="H883" s="63" t="str">
        <f t="shared" si="1"/>
        <v/>
      </c>
      <c r="I883" s="55"/>
    </row>
    <row r="884">
      <c r="A884" s="67"/>
      <c r="B884" s="73"/>
      <c r="C884" s="74"/>
      <c r="D884" s="75"/>
      <c r="E884" s="76"/>
      <c r="F884" s="75"/>
      <c r="G884" s="62"/>
      <c r="H884" s="63" t="str">
        <f t="shared" si="1"/>
        <v/>
      </c>
      <c r="I884" s="55"/>
    </row>
    <row r="885">
      <c r="A885" s="67"/>
      <c r="B885" s="73"/>
      <c r="C885" s="74"/>
      <c r="D885" s="75"/>
      <c r="E885" s="76"/>
      <c r="F885" s="75"/>
      <c r="G885" s="62"/>
      <c r="H885" s="63" t="str">
        <f t="shared" si="1"/>
        <v/>
      </c>
      <c r="I885" s="55"/>
    </row>
    <row r="886">
      <c r="A886" s="67"/>
      <c r="B886" s="73"/>
      <c r="C886" s="74"/>
      <c r="D886" s="75"/>
      <c r="E886" s="76"/>
      <c r="F886" s="75"/>
      <c r="G886" s="62"/>
      <c r="H886" s="63" t="str">
        <f t="shared" si="1"/>
        <v/>
      </c>
      <c r="I886" s="55"/>
    </row>
    <row r="887">
      <c r="A887" s="67"/>
      <c r="B887" s="73"/>
      <c r="C887" s="74"/>
      <c r="D887" s="75"/>
      <c r="E887" s="76"/>
      <c r="F887" s="75"/>
      <c r="G887" s="62"/>
      <c r="H887" s="63" t="str">
        <f t="shared" si="1"/>
        <v/>
      </c>
      <c r="I887" s="55"/>
    </row>
    <row r="888">
      <c r="A888" s="67"/>
      <c r="B888" s="73"/>
      <c r="C888" s="74"/>
      <c r="D888" s="75"/>
      <c r="E888" s="76"/>
      <c r="F888" s="75"/>
      <c r="G888" s="62"/>
      <c r="H888" s="63" t="str">
        <f t="shared" si="1"/>
        <v/>
      </c>
      <c r="I888" s="55"/>
    </row>
    <row r="889">
      <c r="A889" s="67"/>
      <c r="B889" s="73"/>
      <c r="C889" s="74"/>
      <c r="D889" s="75"/>
      <c r="E889" s="76"/>
      <c r="F889" s="75"/>
      <c r="G889" s="62"/>
      <c r="H889" s="63" t="str">
        <f t="shared" si="1"/>
        <v/>
      </c>
      <c r="I889" s="55"/>
    </row>
    <row r="890">
      <c r="A890" s="67"/>
      <c r="B890" s="73"/>
      <c r="C890" s="74"/>
      <c r="D890" s="75"/>
      <c r="E890" s="76"/>
      <c r="F890" s="75"/>
      <c r="G890" s="62"/>
      <c r="H890" s="63" t="str">
        <f t="shared" si="1"/>
        <v/>
      </c>
      <c r="I890" s="55"/>
    </row>
    <row r="891">
      <c r="A891" s="67"/>
      <c r="B891" s="73"/>
      <c r="C891" s="74"/>
      <c r="D891" s="75"/>
      <c r="E891" s="76"/>
      <c r="F891" s="75"/>
      <c r="G891" s="62"/>
      <c r="H891" s="63" t="str">
        <f t="shared" si="1"/>
        <v/>
      </c>
      <c r="I891" s="55"/>
    </row>
    <row r="892">
      <c r="A892" s="67"/>
      <c r="B892" s="73"/>
      <c r="C892" s="74"/>
      <c r="D892" s="75"/>
      <c r="E892" s="76"/>
      <c r="F892" s="75"/>
      <c r="G892" s="62"/>
      <c r="H892" s="63" t="str">
        <f t="shared" si="1"/>
        <v/>
      </c>
      <c r="I892" s="55"/>
    </row>
    <row r="893">
      <c r="A893" s="67"/>
      <c r="B893" s="73"/>
      <c r="C893" s="74"/>
      <c r="D893" s="75"/>
      <c r="E893" s="76"/>
      <c r="F893" s="75"/>
      <c r="G893" s="62"/>
      <c r="H893" s="63" t="str">
        <f t="shared" si="1"/>
        <v/>
      </c>
      <c r="I893" s="55"/>
    </row>
    <row r="894">
      <c r="A894" s="67"/>
      <c r="B894" s="73"/>
      <c r="C894" s="74"/>
      <c r="D894" s="75"/>
      <c r="E894" s="76"/>
      <c r="F894" s="75"/>
      <c r="G894" s="62"/>
      <c r="H894" s="63" t="str">
        <f t="shared" si="1"/>
        <v/>
      </c>
      <c r="I894" s="55"/>
    </row>
    <row r="895">
      <c r="A895" s="67"/>
      <c r="B895" s="73"/>
      <c r="C895" s="74"/>
      <c r="D895" s="75"/>
      <c r="E895" s="76"/>
      <c r="F895" s="75"/>
      <c r="G895" s="62"/>
      <c r="H895" s="63" t="str">
        <f t="shared" si="1"/>
        <v/>
      </c>
      <c r="I895" s="55"/>
    </row>
    <row r="896">
      <c r="A896" s="67"/>
      <c r="B896" s="73"/>
      <c r="C896" s="74"/>
      <c r="D896" s="75"/>
      <c r="E896" s="76"/>
      <c r="F896" s="75"/>
      <c r="G896" s="62"/>
      <c r="H896" s="63" t="str">
        <f t="shared" si="1"/>
        <v/>
      </c>
      <c r="I896" s="55"/>
    </row>
    <row r="897">
      <c r="A897" s="67"/>
      <c r="B897" s="73"/>
      <c r="C897" s="74"/>
      <c r="D897" s="75"/>
      <c r="E897" s="76"/>
      <c r="F897" s="75"/>
      <c r="G897" s="62"/>
      <c r="H897" s="63" t="str">
        <f t="shared" si="1"/>
        <v/>
      </c>
      <c r="I897" s="55"/>
    </row>
    <row r="898">
      <c r="A898" s="67"/>
      <c r="B898" s="73"/>
      <c r="C898" s="74"/>
      <c r="D898" s="75"/>
      <c r="E898" s="76"/>
      <c r="F898" s="75"/>
      <c r="G898" s="62"/>
      <c r="H898" s="63" t="str">
        <f t="shared" si="1"/>
        <v/>
      </c>
      <c r="I898" s="55"/>
    </row>
    <row r="899">
      <c r="A899" s="67"/>
      <c r="B899" s="73"/>
      <c r="C899" s="74"/>
      <c r="D899" s="75"/>
      <c r="E899" s="76"/>
      <c r="F899" s="75"/>
      <c r="G899" s="62"/>
      <c r="H899" s="63" t="str">
        <f t="shared" si="1"/>
        <v/>
      </c>
      <c r="I899" s="55"/>
    </row>
    <row r="900">
      <c r="A900" s="67"/>
      <c r="B900" s="73"/>
      <c r="C900" s="74"/>
      <c r="D900" s="75"/>
      <c r="E900" s="76"/>
      <c r="F900" s="75"/>
      <c r="G900" s="62"/>
      <c r="H900" s="63" t="str">
        <f t="shared" si="1"/>
        <v/>
      </c>
      <c r="I900" s="55"/>
    </row>
    <row r="901">
      <c r="A901" s="67"/>
      <c r="B901" s="73"/>
      <c r="C901" s="74"/>
      <c r="D901" s="75"/>
      <c r="E901" s="76"/>
      <c r="F901" s="75"/>
      <c r="G901" s="62"/>
      <c r="H901" s="63" t="str">
        <f t="shared" si="1"/>
        <v/>
      </c>
      <c r="I901" s="55"/>
    </row>
    <row r="902">
      <c r="A902" s="67"/>
      <c r="B902" s="73"/>
      <c r="C902" s="74"/>
      <c r="D902" s="75"/>
      <c r="E902" s="76"/>
      <c r="F902" s="75"/>
      <c r="G902" s="62"/>
      <c r="H902" s="63" t="str">
        <f t="shared" si="1"/>
        <v/>
      </c>
      <c r="I902" s="55"/>
    </row>
    <row r="903">
      <c r="A903" s="67"/>
      <c r="B903" s="73"/>
      <c r="C903" s="74"/>
      <c r="D903" s="75"/>
      <c r="E903" s="76"/>
      <c r="F903" s="75"/>
      <c r="G903" s="62"/>
      <c r="H903" s="63" t="str">
        <f t="shared" si="1"/>
        <v/>
      </c>
      <c r="I903" s="55"/>
    </row>
    <row r="904">
      <c r="A904" s="67"/>
      <c r="B904" s="73"/>
      <c r="C904" s="74"/>
      <c r="D904" s="75"/>
      <c r="E904" s="76"/>
      <c r="F904" s="75"/>
      <c r="G904" s="62"/>
      <c r="H904" s="63" t="str">
        <f t="shared" si="1"/>
        <v/>
      </c>
      <c r="I904" s="55"/>
    </row>
    <row r="905">
      <c r="A905" s="67"/>
      <c r="B905" s="73"/>
      <c r="C905" s="74"/>
      <c r="D905" s="75"/>
      <c r="E905" s="76"/>
      <c r="F905" s="75"/>
      <c r="G905" s="62"/>
      <c r="H905" s="63" t="str">
        <f t="shared" si="1"/>
        <v/>
      </c>
      <c r="I905" s="55"/>
    </row>
    <row r="906">
      <c r="A906" s="67"/>
      <c r="B906" s="73"/>
      <c r="C906" s="74"/>
      <c r="D906" s="75"/>
      <c r="E906" s="76"/>
      <c r="F906" s="75"/>
      <c r="G906" s="62"/>
      <c r="H906" s="63" t="str">
        <f t="shared" si="1"/>
        <v/>
      </c>
      <c r="I906" s="55"/>
    </row>
    <row r="907">
      <c r="A907" s="67"/>
      <c r="B907" s="73"/>
      <c r="C907" s="74"/>
      <c r="D907" s="75"/>
      <c r="E907" s="76"/>
      <c r="F907" s="75"/>
      <c r="G907" s="62"/>
      <c r="H907" s="63" t="str">
        <f t="shared" si="1"/>
        <v/>
      </c>
      <c r="I907" s="55"/>
    </row>
    <row r="908">
      <c r="A908" s="67"/>
      <c r="B908" s="73"/>
      <c r="C908" s="74"/>
      <c r="D908" s="75"/>
      <c r="E908" s="76"/>
      <c r="F908" s="75"/>
      <c r="G908" s="62"/>
      <c r="H908" s="63" t="str">
        <f t="shared" si="1"/>
        <v/>
      </c>
      <c r="I908" s="55"/>
    </row>
    <row r="909">
      <c r="A909" s="67"/>
      <c r="B909" s="73"/>
      <c r="C909" s="74"/>
      <c r="D909" s="75"/>
      <c r="E909" s="76"/>
      <c r="F909" s="75"/>
      <c r="G909" s="62"/>
      <c r="H909" s="63" t="str">
        <f t="shared" si="1"/>
        <v/>
      </c>
      <c r="I909" s="55"/>
    </row>
    <row r="910">
      <c r="A910" s="67"/>
      <c r="B910" s="73"/>
      <c r="C910" s="74"/>
      <c r="D910" s="75"/>
      <c r="E910" s="76"/>
      <c r="F910" s="75"/>
      <c r="G910" s="62"/>
      <c r="H910" s="63" t="str">
        <f t="shared" si="1"/>
        <v/>
      </c>
      <c r="I910" s="55"/>
    </row>
    <row r="911">
      <c r="A911" s="67"/>
      <c r="B911" s="73"/>
      <c r="C911" s="74"/>
      <c r="D911" s="75"/>
      <c r="E911" s="76"/>
      <c r="F911" s="75"/>
      <c r="G911" s="62"/>
      <c r="H911" s="63" t="str">
        <f t="shared" si="1"/>
        <v/>
      </c>
      <c r="I911" s="55"/>
    </row>
    <row r="912">
      <c r="A912" s="67"/>
      <c r="B912" s="73"/>
      <c r="C912" s="74"/>
      <c r="D912" s="75"/>
      <c r="E912" s="76"/>
      <c r="F912" s="75"/>
      <c r="G912" s="62"/>
      <c r="H912" s="63" t="str">
        <f t="shared" si="1"/>
        <v/>
      </c>
      <c r="I912" s="55"/>
    </row>
    <row r="913">
      <c r="A913" s="67"/>
      <c r="B913" s="73"/>
      <c r="C913" s="74"/>
      <c r="D913" s="75"/>
      <c r="E913" s="76"/>
      <c r="F913" s="75"/>
      <c r="G913" s="62"/>
      <c r="H913" s="63" t="str">
        <f t="shared" si="1"/>
        <v/>
      </c>
      <c r="I913" s="55"/>
    </row>
    <row r="914">
      <c r="A914" s="67"/>
      <c r="B914" s="73"/>
      <c r="C914" s="74"/>
      <c r="D914" s="75"/>
      <c r="E914" s="76"/>
      <c r="F914" s="75"/>
      <c r="G914" s="62"/>
      <c r="H914" s="63" t="str">
        <f t="shared" si="1"/>
        <v/>
      </c>
      <c r="I914" s="55"/>
    </row>
    <row r="915">
      <c r="A915" s="67"/>
      <c r="B915" s="73"/>
      <c r="C915" s="74"/>
      <c r="D915" s="75"/>
      <c r="E915" s="76"/>
      <c r="F915" s="75"/>
      <c r="G915" s="62"/>
      <c r="H915" s="63" t="str">
        <f t="shared" si="1"/>
        <v/>
      </c>
      <c r="I915" s="55"/>
    </row>
    <row r="916">
      <c r="A916" s="67"/>
      <c r="B916" s="73"/>
      <c r="C916" s="74"/>
      <c r="D916" s="75"/>
      <c r="E916" s="76"/>
      <c r="F916" s="75"/>
      <c r="G916" s="62"/>
      <c r="H916" s="63" t="str">
        <f t="shared" si="1"/>
        <v/>
      </c>
      <c r="I916" s="55"/>
    </row>
    <row r="917">
      <c r="A917" s="67"/>
      <c r="B917" s="73"/>
      <c r="C917" s="74"/>
      <c r="D917" s="75"/>
      <c r="E917" s="76"/>
      <c r="F917" s="75"/>
      <c r="G917" s="62"/>
      <c r="H917" s="63" t="str">
        <f t="shared" si="1"/>
        <v/>
      </c>
      <c r="I917" s="55"/>
    </row>
    <row r="918">
      <c r="A918" s="67"/>
      <c r="B918" s="73"/>
      <c r="C918" s="74"/>
      <c r="D918" s="75"/>
      <c r="E918" s="76"/>
      <c r="F918" s="75"/>
      <c r="G918" s="62"/>
      <c r="H918" s="63" t="str">
        <f t="shared" si="1"/>
        <v/>
      </c>
      <c r="I918" s="55"/>
    </row>
    <row r="919">
      <c r="A919" s="67"/>
      <c r="B919" s="73"/>
      <c r="C919" s="74"/>
      <c r="D919" s="75"/>
      <c r="E919" s="76"/>
      <c r="F919" s="75"/>
      <c r="G919" s="62"/>
      <c r="H919" s="63" t="str">
        <f t="shared" si="1"/>
        <v/>
      </c>
      <c r="I919" s="55"/>
    </row>
    <row r="920">
      <c r="A920" s="67"/>
      <c r="B920" s="73"/>
      <c r="C920" s="74"/>
      <c r="D920" s="75"/>
      <c r="E920" s="76"/>
      <c r="F920" s="75"/>
      <c r="G920" s="62"/>
      <c r="H920" s="63" t="str">
        <f t="shared" si="1"/>
        <v/>
      </c>
      <c r="I920" s="55"/>
    </row>
    <row r="921">
      <c r="A921" s="67"/>
      <c r="B921" s="73"/>
      <c r="C921" s="74"/>
      <c r="D921" s="75"/>
      <c r="E921" s="76"/>
      <c r="F921" s="75"/>
      <c r="G921" s="62"/>
      <c r="H921" s="63" t="str">
        <f t="shared" si="1"/>
        <v/>
      </c>
      <c r="I921" s="55"/>
    </row>
    <row r="922">
      <c r="A922" s="67"/>
      <c r="B922" s="73"/>
      <c r="C922" s="74"/>
      <c r="D922" s="75"/>
      <c r="E922" s="76"/>
      <c r="F922" s="75"/>
      <c r="G922" s="62"/>
      <c r="H922" s="63" t="str">
        <f t="shared" si="1"/>
        <v/>
      </c>
      <c r="I922" s="55"/>
    </row>
    <row r="923">
      <c r="A923" s="67"/>
      <c r="B923" s="73"/>
      <c r="C923" s="74"/>
      <c r="D923" s="75"/>
      <c r="E923" s="76"/>
      <c r="F923" s="75"/>
      <c r="G923" s="62"/>
      <c r="H923" s="63" t="str">
        <f t="shared" si="1"/>
        <v/>
      </c>
      <c r="I923" s="55"/>
    </row>
    <row r="924">
      <c r="A924" s="67"/>
      <c r="B924" s="73"/>
      <c r="C924" s="74"/>
      <c r="D924" s="75"/>
      <c r="E924" s="76"/>
      <c r="F924" s="75"/>
      <c r="G924" s="62"/>
      <c r="H924" s="63" t="str">
        <f t="shared" si="1"/>
        <v/>
      </c>
      <c r="I924" s="55"/>
    </row>
    <row r="925">
      <c r="A925" s="67"/>
      <c r="B925" s="73"/>
      <c r="C925" s="74"/>
      <c r="D925" s="75"/>
      <c r="E925" s="76"/>
      <c r="F925" s="75"/>
      <c r="G925" s="62"/>
      <c r="H925" s="63" t="str">
        <f t="shared" si="1"/>
        <v/>
      </c>
      <c r="I925" s="55"/>
    </row>
    <row r="926">
      <c r="A926" s="67"/>
      <c r="B926" s="73"/>
      <c r="C926" s="74"/>
      <c r="D926" s="75"/>
      <c r="E926" s="76"/>
      <c r="F926" s="75"/>
      <c r="G926" s="62"/>
      <c r="H926" s="63" t="str">
        <f t="shared" si="1"/>
        <v/>
      </c>
      <c r="I926" s="55"/>
    </row>
    <row r="927">
      <c r="A927" s="67"/>
      <c r="B927" s="73"/>
      <c r="C927" s="74"/>
      <c r="D927" s="75"/>
      <c r="E927" s="76"/>
      <c r="F927" s="75"/>
      <c r="G927" s="62"/>
      <c r="H927" s="63" t="str">
        <f t="shared" si="1"/>
        <v/>
      </c>
      <c r="I927" s="55"/>
    </row>
    <row r="928">
      <c r="A928" s="67"/>
      <c r="B928" s="73"/>
      <c r="C928" s="74"/>
      <c r="D928" s="75"/>
      <c r="E928" s="76"/>
      <c r="F928" s="75"/>
      <c r="G928" s="62"/>
      <c r="H928" s="63" t="str">
        <f t="shared" si="1"/>
        <v/>
      </c>
      <c r="I928" s="55"/>
    </row>
    <row r="929">
      <c r="A929" s="67"/>
      <c r="B929" s="73"/>
      <c r="C929" s="74"/>
      <c r="D929" s="75"/>
      <c r="E929" s="76"/>
      <c r="F929" s="75"/>
      <c r="G929" s="62"/>
      <c r="H929" s="63" t="str">
        <f t="shared" si="1"/>
        <v/>
      </c>
      <c r="I929" s="55"/>
    </row>
    <row r="930">
      <c r="A930" s="67"/>
      <c r="B930" s="73"/>
      <c r="C930" s="74"/>
      <c r="D930" s="75"/>
      <c r="E930" s="76"/>
      <c r="F930" s="75"/>
      <c r="G930" s="62"/>
      <c r="H930" s="63" t="str">
        <f t="shared" si="1"/>
        <v/>
      </c>
      <c r="I930" s="55"/>
    </row>
    <row r="931">
      <c r="A931" s="67"/>
      <c r="B931" s="73"/>
      <c r="C931" s="74"/>
      <c r="D931" s="75"/>
      <c r="E931" s="76"/>
      <c r="F931" s="75"/>
      <c r="G931" s="62"/>
      <c r="H931" s="63" t="str">
        <f t="shared" si="1"/>
        <v/>
      </c>
      <c r="I931" s="55"/>
    </row>
    <row r="932">
      <c r="A932" s="67"/>
      <c r="B932" s="73"/>
      <c r="C932" s="74"/>
      <c r="D932" s="75"/>
      <c r="E932" s="76"/>
      <c r="F932" s="75"/>
      <c r="G932" s="62"/>
      <c r="H932" s="63" t="str">
        <f t="shared" si="1"/>
        <v/>
      </c>
      <c r="I932" s="55"/>
    </row>
    <row r="933">
      <c r="A933" s="67"/>
      <c r="B933" s="73"/>
      <c r="C933" s="74"/>
      <c r="D933" s="75"/>
      <c r="E933" s="76"/>
      <c r="F933" s="75"/>
      <c r="G933" s="62"/>
      <c r="H933" s="63" t="str">
        <f t="shared" si="1"/>
        <v/>
      </c>
      <c r="I933" s="55"/>
    </row>
    <row r="934">
      <c r="A934" s="67"/>
      <c r="B934" s="73"/>
      <c r="C934" s="74"/>
      <c r="D934" s="75"/>
      <c r="E934" s="76"/>
      <c r="F934" s="75"/>
      <c r="G934" s="62"/>
      <c r="H934" s="63" t="str">
        <f t="shared" si="1"/>
        <v/>
      </c>
      <c r="I934" s="55"/>
    </row>
    <row r="935">
      <c r="A935" s="67"/>
      <c r="B935" s="73"/>
      <c r="C935" s="74"/>
      <c r="D935" s="75"/>
      <c r="E935" s="76"/>
      <c r="F935" s="75"/>
      <c r="G935" s="62"/>
      <c r="H935" s="63" t="str">
        <f t="shared" si="1"/>
        <v/>
      </c>
      <c r="I935" s="55"/>
    </row>
    <row r="936">
      <c r="A936" s="67"/>
      <c r="B936" s="73"/>
      <c r="C936" s="74"/>
      <c r="D936" s="75"/>
      <c r="E936" s="76"/>
      <c r="F936" s="75"/>
      <c r="G936" s="62"/>
      <c r="H936" s="63" t="str">
        <f t="shared" si="1"/>
        <v/>
      </c>
      <c r="I936" s="55"/>
    </row>
    <row r="937">
      <c r="A937" s="67"/>
      <c r="B937" s="73"/>
      <c r="C937" s="74"/>
      <c r="D937" s="75"/>
      <c r="E937" s="76"/>
      <c r="F937" s="75"/>
      <c r="G937" s="62"/>
      <c r="H937" s="63" t="str">
        <f t="shared" si="1"/>
        <v/>
      </c>
      <c r="I937" s="55"/>
    </row>
    <row r="938">
      <c r="A938" s="67"/>
      <c r="B938" s="73"/>
      <c r="C938" s="74"/>
      <c r="D938" s="75"/>
      <c r="E938" s="76"/>
      <c r="F938" s="75"/>
      <c r="G938" s="62"/>
      <c r="H938" s="63" t="str">
        <f t="shared" si="1"/>
        <v/>
      </c>
      <c r="I938" s="55"/>
    </row>
    <row r="939">
      <c r="A939" s="67"/>
      <c r="B939" s="73"/>
      <c r="C939" s="74"/>
      <c r="D939" s="75"/>
      <c r="E939" s="76"/>
      <c r="F939" s="75"/>
      <c r="G939" s="62"/>
      <c r="H939" s="63" t="str">
        <f t="shared" si="1"/>
        <v/>
      </c>
      <c r="I939" s="55"/>
    </row>
    <row r="940">
      <c r="A940" s="67"/>
      <c r="B940" s="73"/>
      <c r="C940" s="74"/>
      <c r="D940" s="75"/>
      <c r="E940" s="76"/>
      <c r="F940" s="75"/>
      <c r="G940" s="62"/>
      <c r="H940" s="63" t="str">
        <f t="shared" si="1"/>
        <v/>
      </c>
      <c r="I940" s="55"/>
    </row>
    <row r="941">
      <c r="A941" s="67"/>
      <c r="B941" s="73"/>
      <c r="C941" s="74"/>
      <c r="D941" s="75"/>
      <c r="E941" s="76"/>
      <c r="F941" s="75"/>
      <c r="G941" s="62"/>
      <c r="H941" s="63" t="str">
        <f t="shared" si="1"/>
        <v/>
      </c>
      <c r="I941" s="55"/>
    </row>
    <row r="942">
      <c r="A942" s="67"/>
      <c r="B942" s="73"/>
      <c r="C942" s="74"/>
      <c r="D942" s="75"/>
      <c r="E942" s="76"/>
      <c r="F942" s="75"/>
      <c r="G942" s="62"/>
      <c r="H942" s="63" t="str">
        <f t="shared" si="1"/>
        <v/>
      </c>
      <c r="I942" s="55"/>
    </row>
    <row r="943">
      <c r="A943" s="67"/>
      <c r="B943" s="73"/>
      <c r="C943" s="74"/>
      <c r="D943" s="75"/>
      <c r="E943" s="76"/>
      <c r="F943" s="75"/>
      <c r="G943" s="62"/>
      <c r="H943" s="63" t="str">
        <f t="shared" si="1"/>
        <v/>
      </c>
      <c r="I943" s="55"/>
    </row>
    <row r="944">
      <c r="A944" s="67"/>
      <c r="B944" s="73"/>
      <c r="C944" s="74"/>
      <c r="D944" s="75"/>
      <c r="E944" s="76"/>
      <c r="F944" s="75"/>
      <c r="G944" s="62"/>
      <c r="H944" s="63" t="str">
        <f t="shared" si="1"/>
        <v/>
      </c>
      <c r="I944" s="55"/>
    </row>
    <row r="945">
      <c r="A945" s="67"/>
      <c r="B945" s="73"/>
      <c r="C945" s="74"/>
      <c r="D945" s="75"/>
      <c r="E945" s="76"/>
      <c r="F945" s="75"/>
      <c r="G945" s="62"/>
      <c r="H945" s="63" t="str">
        <f t="shared" si="1"/>
        <v/>
      </c>
      <c r="I945" s="55"/>
    </row>
    <row r="946">
      <c r="A946" s="67"/>
      <c r="B946" s="73"/>
      <c r="C946" s="74"/>
      <c r="D946" s="75"/>
      <c r="E946" s="76"/>
      <c r="F946" s="75"/>
      <c r="G946" s="62"/>
      <c r="H946" s="63" t="str">
        <f t="shared" si="1"/>
        <v/>
      </c>
      <c r="I946" s="55"/>
    </row>
    <row r="947">
      <c r="A947" s="67"/>
      <c r="B947" s="73"/>
      <c r="C947" s="74"/>
      <c r="D947" s="75"/>
      <c r="E947" s="76"/>
      <c r="F947" s="75"/>
      <c r="G947" s="62"/>
      <c r="H947" s="63" t="str">
        <f t="shared" si="1"/>
        <v/>
      </c>
      <c r="I947" s="55"/>
    </row>
    <row r="948">
      <c r="A948" s="67"/>
      <c r="B948" s="73"/>
      <c r="C948" s="74"/>
      <c r="D948" s="75"/>
      <c r="E948" s="76"/>
      <c r="F948" s="75"/>
      <c r="G948" s="62"/>
      <c r="H948" s="63" t="str">
        <f t="shared" si="1"/>
        <v/>
      </c>
      <c r="I948" s="55"/>
    </row>
    <row r="949">
      <c r="A949" s="67"/>
      <c r="B949" s="73"/>
      <c r="C949" s="74"/>
      <c r="D949" s="75"/>
      <c r="E949" s="76"/>
      <c r="F949" s="75"/>
      <c r="G949" s="62"/>
      <c r="H949" s="63" t="str">
        <f t="shared" si="1"/>
        <v/>
      </c>
      <c r="I949" s="55"/>
    </row>
    <row r="950">
      <c r="A950" s="67"/>
      <c r="B950" s="73"/>
      <c r="C950" s="74"/>
      <c r="D950" s="75"/>
      <c r="E950" s="76"/>
      <c r="F950" s="75"/>
      <c r="G950" s="62"/>
      <c r="H950" s="63" t="str">
        <f t="shared" si="1"/>
        <v/>
      </c>
      <c r="I950" s="55"/>
    </row>
    <row r="951">
      <c r="A951" s="67"/>
      <c r="B951" s="73"/>
      <c r="C951" s="74"/>
      <c r="D951" s="75"/>
      <c r="E951" s="76"/>
      <c r="F951" s="75"/>
      <c r="G951" s="62"/>
      <c r="H951" s="63" t="str">
        <f t="shared" si="1"/>
        <v/>
      </c>
      <c r="I951" s="55"/>
    </row>
    <row r="952">
      <c r="A952" s="67"/>
      <c r="B952" s="73"/>
      <c r="C952" s="74"/>
      <c r="D952" s="75"/>
      <c r="E952" s="76"/>
      <c r="F952" s="75"/>
      <c r="G952" s="62"/>
      <c r="H952" s="63" t="str">
        <f t="shared" si="1"/>
        <v/>
      </c>
      <c r="I952" s="55"/>
    </row>
    <row r="953">
      <c r="A953" s="67"/>
      <c r="B953" s="73"/>
      <c r="C953" s="74"/>
      <c r="D953" s="75"/>
      <c r="E953" s="76"/>
      <c r="F953" s="75"/>
      <c r="G953" s="62"/>
      <c r="H953" s="63" t="str">
        <f t="shared" si="1"/>
        <v/>
      </c>
      <c r="I953" s="55"/>
    </row>
    <row r="954">
      <c r="A954" s="67"/>
      <c r="B954" s="73"/>
      <c r="C954" s="74"/>
      <c r="D954" s="75"/>
      <c r="E954" s="76"/>
      <c r="F954" s="75"/>
      <c r="G954" s="62"/>
      <c r="H954" s="63" t="str">
        <f t="shared" si="1"/>
        <v/>
      </c>
      <c r="I954" s="55"/>
    </row>
    <row r="955">
      <c r="A955" s="67"/>
      <c r="B955" s="73"/>
      <c r="C955" s="74"/>
      <c r="D955" s="75"/>
      <c r="E955" s="76"/>
      <c r="F955" s="75"/>
      <c r="G955" s="62"/>
      <c r="H955" s="63" t="str">
        <f t="shared" si="1"/>
        <v/>
      </c>
      <c r="I955" s="55"/>
    </row>
    <row r="956">
      <c r="A956" s="67"/>
      <c r="B956" s="73"/>
      <c r="C956" s="74"/>
      <c r="D956" s="75"/>
      <c r="E956" s="76"/>
      <c r="F956" s="75"/>
      <c r="G956" s="62"/>
      <c r="H956" s="63" t="str">
        <f t="shared" si="1"/>
        <v/>
      </c>
      <c r="I956" s="55"/>
    </row>
    <row r="957">
      <c r="A957" s="67"/>
      <c r="B957" s="73"/>
      <c r="C957" s="74"/>
      <c r="D957" s="75"/>
      <c r="E957" s="76"/>
      <c r="F957" s="75"/>
      <c r="G957" s="62"/>
      <c r="H957" s="63" t="str">
        <f t="shared" si="1"/>
        <v/>
      </c>
      <c r="I957" s="55"/>
    </row>
    <row r="958">
      <c r="A958" s="67"/>
      <c r="B958" s="73"/>
      <c r="C958" s="74"/>
      <c r="D958" s="75"/>
      <c r="E958" s="76"/>
      <c r="F958" s="75"/>
      <c r="G958" s="62"/>
      <c r="H958" s="63" t="str">
        <f t="shared" si="1"/>
        <v/>
      </c>
      <c r="I958" s="55"/>
    </row>
    <row r="959">
      <c r="A959" s="67"/>
      <c r="B959" s="73"/>
      <c r="C959" s="74"/>
      <c r="D959" s="75"/>
      <c r="E959" s="76"/>
      <c r="F959" s="75"/>
      <c r="G959" s="62"/>
      <c r="H959" s="63" t="str">
        <f t="shared" si="1"/>
        <v/>
      </c>
      <c r="I959" s="55"/>
    </row>
    <row r="960">
      <c r="A960" s="67"/>
      <c r="B960" s="73"/>
      <c r="C960" s="74"/>
      <c r="D960" s="75"/>
      <c r="E960" s="76"/>
      <c r="F960" s="75"/>
      <c r="G960" s="62"/>
      <c r="H960" s="63" t="str">
        <f t="shared" si="1"/>
        <v/>
      </c>
      <c r="I960" s="55"/>
    </row>
    <row r="961">
      <c r="A961" s="67"/>
      <c r="B961" s="73"/>
      <c r="C961" s="74"/>
      <c r="D961" s="75"/>
      <c r="E961" s="76"/>
      <c r="F961" s="75"/>
      <c r="G961" s="62"/>
      <c r="H961" s="63" t="str">
        <f t="shared" si="1"/>
        <v/>
      </c>
      <c r="I961" s="55"/>
    </row>
    <row r="962">
      <c r="A962" s="67"/>
      <c r="B962" s="73"/>
      <c r="C962" s="74"/>
      <c r="D962" s="75"/>
      <c r="E962" s="76"/>
      <c r="F962" s="75"/>
      <c r="G962" s="62"/>
      <c r="H962" s="63" t="str">
        <f t="shared" si="1"/>
        <v/>
      </c>
      <c r="I962" s="55"/>
    </row>
    <row r="963">
      <c r="A963" s="67"/>
      <c r="B963" s="73"/>
      <c r="C963" s="74"/>
      <c r="D963" s="75"/>
      <c r="E963" s="76"/>
      <c r="F963" s="75"/>
      <c r="G963" s="62"/>
      <c r="H963" s="63" t="str">
        <f t="shared" si="1"/>
        <v/>
      </c>
      <c r="I963" s="55"/>
    </row>
    <row r="964">
      <c r="A964" s="67"/>
      <c r="B964" s="73"/>
      <c r="C964" s="74"/>
      <c r="D964" s="75"/>
      <c r="E964" s="76"/>
      <c r="F964" s="75"/>
      <c r="G964" s="62"/>
      <c r="H964" s="63" t="str">
        <f t="shared" si="1"/>
        <v/>
      </c>
      <c r="I964" s="55"/>
    </row>
    <row r="965">
      <c r="A965" s="67"/>
      <c r="B965" s="73"/>
      <c r="C965" s="74"/>
      <c r="D965" s="75"/>
      <c r="E965" s="76"/>
      <c r="F965" s="75"/>
      <c r="G965" s="62"/>
      <c r="H965" s="63" t="str">
        <f t="shared" si="1"/>
        <v/>
      </c>
      <c r="I965" s="55"/>
    </row>
    <row r="966">
      <c r="A966" s="67"/>
      <c r="B966" s="73"/>
      <c r="C966" s="74"/>
      <c r="D966" s="75"/>
      <c r="E966" s="76"/>
      <c r="F966" s="75"/>
      <c r="G966" s="62"/>
      <c r="H966" s="63" t="str">
        <f t="shared" si="1"/>
        <v/>
      </c>
      <c r="I966" s="55"/>
    </row>
    <row r="967">
      <c r="A967" s="67"/>
      <c r="B967" s="73"/>
      <c r="C967" s="74"/>
      <c r="D967" s="75"/>
      <c r="E967" s="76"/>
      <c r="F967" s="75"/>
      <c r="G967" s="62"/>
      <c r="H967" s="63" t="str">
        <f t="shared" si="1"/>
        <v/>
      </c>
      <c r="I967" s="55"/>
    </row>
    <row r="968">
      <c r="A968" s="67"/>
      <c r="B968" s="73"/>
      <c r="C968" s="74"/>
      <c r="D968" s="75"/>
      <c r="E968" s="76"/>
      <c r="F968" s="75"/>
      <c r="G968" s="62"/>
      <c r="H968" s="63" t="str">
        <f t="shared" si="1"/>
        <v/>
      </c>
      <c r="I968" s="55"/>
    </row>
    <row r="969">
      <c r="A969" s="67"/>
      <c r="B969" s="73"/>
      <c r="C969" s="74"/>
      <c r="D969" s="75"/>
      <c r="E969" s="76"/>
      <c r="F969" s="75"/>
      <c r="G969" s="62"/>
      <c r="H969" s="63" t="str">
        <f t="shared" si="1"/>
        <v/>
      </c>
      <c r="I969" s="55"/>
    </row>
    <row r="970">
      <c r="A970" s="67"/>
      <c r="B970" s="73"/>
      <c r="C970" s="74"/>
      <c r="D970" s="75"/>
      <c r="E970" s="76"/>
      <c r="F970" s="75"/>
      <c r="G970" s="62"/>
      <c r="H970" s="63" t="str">
        <f t="shared" si="1"/>
        <v/>
      </c>
      <c r="I970" s="55"/>
    </row>
    <row r="971">
      <c r="A971" s="67"/>
      <c r="B971" s="73"/>
      <c r="C971" s="74"/>
      <c r="D971" s="75"/>
      <c r="E971" s="76"/>
      <c r="F971" s="75"/>
      <c r="G971" s="62"/>
      <c r="H971" s="63" t="str">
        <f t="shared" si="1"/>
        <v/>
      </c>
      <c r="I971" s="55"/>
    </row>
    <row r="972">
      <c r="A972" s="67"/>
      <c r="B972" s="73"/>
      <c r="C972" s="74"/>
      <c r="D972" s="75"/>
      <c r="E972" s="76"/>
      <c r="F972" s="75"/>
      <c r="G972" s="62"/>
      <c r="H972" s="63" t="str">
        <f t="shared" si="1"/>
        <v/>
      </c>
      <c r="I972" s="55"/>
    </row>
    <row r="973">
      <c r="A973" s="67"/>
      <c r="B973" s="73"/>
      <c r="C973" s="74"/>
      <c r="D973" s="75"/>
      <c r="E973" s="76"/>
      <c r="F973" s="75"/>
      <c r="G973" s="62"/>
      <c r="H973" s="63" t="str">
        <f t="shared" si="1"/>
        <v/>
      </c>
      <c r="I973" s="55"/>
    </row>
    <row r="974">
      <c r="A974" s="67"/>
      <c r="B974" s="73"/>
      <c r="C974" s="74"/>
      <c r="D974" s="75"/>
      <c r="E974" s="76"/>
      <c r="F974" s="75"/>
      <c r="G974" s="62"/>
      <c r="H974" s="63" t="str">
        <f t="shared" si="1"/>
        <v/>
      </c>
      <c r="I974" s="55"/>
    </row>
    <row r="975">
      <c r="A975" s="67"/>
      <c r="B975" s="73"/>
      <c r="C975" s="74"/>
      <c r="D975" s="75"/>
      <c r="E975" s="76"/>
      <c r="F975" s="75"/>
      <c r="G975" s="62"/>
      <c r="H975" s="63" t="str">
        <f t="shared" si="1"/>
        <v/>
      </c>
      <c r="I975" s="55"/>
    </row>
    <row r="976">
      <c r="A976" s="67"/>
      <c r="B976" s="73"/>
      <c r="C976" s="74"/>
      <c r="D976" s="75"/>
      <c r="E976" s="76"/>
      <c r="F976" s="75"/>
      <c r="G976" s="62"/>
      <c r="H976" s="63" t="str">
        <f t="shared" si="1"/>
        <v/>
      </c>
      <c r="I976" s="55"/>
    </row>
    <row r="977">
      <c r="A977" s="67"/>
      <c r="B977" s="73"/>
      <c r="C977" s="74"/>
      <c r="D977" s="75"/>
      <c r="E977" s="76"/>
      <c r="F977" s="75"/>
      <c r="G977" s="62"/>
      <c r="H977" s="63" t="str">
        <f t="shared" si="1"/>
        <v/>
      </c>
      <c r="I977" s="55"/>
    </row>
    <row r="978">
      <c r="A978" s="67"/>
      <c r="B978" s="73"/>
      <c r="C978" s="74"/>
      <c r="D978" s="75"/>
      <c r="E978" s="76"/>
      <c r="F978" s="75"/>
      <c r="G978" s="62"/>
      <c r="H978" s="63" t="str">
        <f t="shared" si="1"/>
        <v/>
      </c>
      <c r="I978" s="55"/>
    </row>
    <row r="979">
      <c r="A979" s="67"/>
      <c r="B979" s="73"/>
      <c r="C979" s="74"/>
      <c r="D979" s="75"/>
      <c r="E979" s="76"/>
      <c r="F979" s="75"/>
      <c r="G979" s="62"/>
      <c r="H979" s="63" t="str">
        <f t="shared" si="1"/>
        <v/>
      </c>
      <c r="I979" s="55"/>
    </row>
    <row r="980">
      <c r="A980" s="67"/>
      <c r="B980" s="73"/>
      <c r="C980" s="74"/>
      <c r="D980" s="75"/>
      <c r="E980" s="76"/>
      <c r="F980" s="75"/>
      <c r="G980" s="62"/>
      <c r="H980" s="63" t="str">
        <f t="shared" si="1"/>
        <v/>
      </c>
      <c r="I980" s="55"/>
    </row>
    <row r="981">
      <c r="A981" s="67"/>
      <c r="B981" s="73"/>
      <c r="C981" s="74"/>
      <c r="D981" s="75"/>
      <c r="E981" s="76"/>
      <c r="F981" s="75"/>
      <c r="G981" s="62"/>
      <c r="H981" s="63" t="str">
        <f t="shared" si="1"/>
        <v/>
      </c>
      <c r="I981" s="55"/>
    </row>
    <row r="982">
      <c r="A982" s="67"/>
      <c r="B982" s="73"/>
      <c r="C982" s="74"/>
      <c r="D982" s="75"/>
      <c r="E982" s="76"/>
      <c r="F982" s="75"/>
      <c r="G982" s="62"/>
      <c r="H982" s="63" t="str">
        <f t="shared" si="1"/>
        <v/>
      </c>
      <c r="I982" s="55"/>
    </row>
    <row r="983">
      <c r="A983" s="67"/>
      <c r="B983" s="73"/>
      <c r="C983" s="74"/>
      <c r="D983" s="75"/>
      <c r="E983" s="76"/>
      <c r="F983" s="75"/>
      <c r="G983" s="62"/>
      <c r="H983" s="63" t="str">
        <f t="shared" si="1"/>
        <v/>
      </c>
      <c r="I983" s="55"/>
    </row>
    <row r="984">
      <c r="A984" s="67"/>
      <c r="B984" s="73"/>
      <c r="C984" s="74"/>
      <c r="D984" s="75"/>
      <c r="E984" s="76"/>
      <c r="F984" s="75"/>
      <c r="G984" s="62"/>
      <c r="H984" s="63" t="str">
        <f t="shared" si="1"/>
        <v/>
      </c>
      <c r="I984" s="55"/>
    </row>
    <row r="985">
      <c r="A985" s="67"/>
      <c r="B985" s="73"/>
      <c r="C985" s="74"/>
      <c r="D985" s="75"/>
      <c r="E985" s="76"/>
      <c r="F985" s="75"/>
      <c r="G985" s="62"/>
      <c r="H985" s="63" t="str">
        <f t="shared" si="1"/>
        <v/>
      </c>
      <c r="I985" s="55"/>
    </row>
    <row r="986">
      <c r="A986" s="67"/>
      <c r="B986" s="73"/>
      <c r="C986" s="74"/>
      <c r="D986" s="75"/>
      <c r="E986" s="76"/>
      <c r="F986" s="75"/>
      <c r="G986" s="62"/>
      <c r="H986" s="63" t="str">
        <f t="shared" si="1"/>
        <v/>
      </c>
      <c r="I986" s="55"/>
    </row>
    <row r="987">
      <c r="A987" s="67"/>
      <c r="B987" s="73"/>
      <c r="C987" s="74"/>
      <c r="D987" s="75"/>
      <c r="E987" s="76"/>
      <c r="F987" s="75"/>
      <c r="G987" s="62"/>
      <c r="H987" s="63" t="str">
        <f t="shared" si="1"/>
        <v/>
      </c>
      <c r="I987" s="55"/>
    </row>
    <row r="988">
      <c r="A988" s="67"/>
      <c r="B988" s="73"/>
      <c r="C988" s="74"/>
      <c r="D988" s="75"/>
      <c r="E988" s="76"/>
      <c r="F988" s="75"/>
      <c r="G988" s="62"/>
      <c r="H988" s="63" t="str">
        <f t="shared" si="1"/>
        <v/>
      </c>
      <c r="I988" s="55"/>
    </row>
    <row r="989">
      <c r="A989" s="67"/>
      <c r="B989" s="73"/>
      <c r="C989" s="74"/>
      <c r="D989" s="75"/>
      <c r="E989" s="76"/>
      <c r="F989" s="75"/>
      <c r="G989" s="62"/>
      <c r="H989" s="63" t="str">
        <f t="shared" si="1"/>
        <v/>
      </c>
      <c r="I989" s="55"/>
    </row>
    <row r="990">
      <c r="A990" s="67"/>
      <c r="B990" s="73"/>
      <c r="C990" s="74"/>
      <c r="D990" s="75"/>
      <c r="E990" s="76"/>
      <c r="F990" s="75"/>
      <c r="G990" s="62"/>
      <c r="H990" s="63" t="str">
        <f t="shared" si="1"/>
        <v/>
      </c>
      <c r="I990" s="55"/>
    </row>
    <row r="991">
      <c r="A991" s="67"/>
      <c r="B991" s="73"/>
      <c r="C991" s="74"/>
      <c r="D991" s="75"/>
      <c r="E991" s="76"/>
      <c r="F991" s="75"/>
      <c r="G991" s="62"/>
      <c r="H991" s="63" t="str">
        <f t="shared" si="1"/>
        <v/>
      </c>
      <c r="I991" s="55"/>
    </row>
    <row r="992">
      <c r="A992" s="67"/>
      <c r="B992" s="73"/>
      <c r="C992" s="74"/>
      <c r="D992" s="75"/>
      <c r="E992" s="76"/>
      <c r="F992" s="75"/>
      <c r="G992" s="62"/>
      <c r="H992" s="63" t="str">
        <f t="shared" si="1"/>
        <v/>
      </c>
      <c r="I992" s="55"/>
    </row>
    <row r="993">
      <c r="A993" s="67"/>
      <c r="B993" s="73"/>
      <c r="C993" s="74"/>
      <c r="D993" s="75"/>
      <c r="E993" s="76"/>
      <c r="F993" s="75"/>
      <c r="G993" s="62"/>
      <c r="H993" s="63" t="str">
        <f t="shared" si="1"/>
        <v/>
      </c>
      <c r="I993" s="55"/>
    </row>
    <row r="994">
      <c r="A994" s="67"/>
      <c r="B994" s="73"/>
      <c r="C994" s="74"/>
      <c r="D994" s="75"/>
      <c r="E994" s="76"/>
      <c r="F994" s="75"/>
      <c r="G994" s="62"/>
      <c r="H994" s="63" t="str">
        <f t="shared" si="1"/>
        <v/>
      </c>
      <c r="I994" s="55"/>
    </row>
    <row r="995">
      <c r="A995" s="67"/>
      <c r="B995" s="73"/>
      <c r="C995" s="74"/>
      <c r="D995" s="75"/>
      <c r="E995" s="76"/>
      <c r="F995" s="75"/>
      <c r="G995" s="62"/>
      <c r="H995" s="63" t="str">
        <f t="shared" si="1"/>
        <v/>
      </c>
      <c r="I995" s="55"/>
    </row>
    <row r="996">
      <c r="A996" s="67"/>
      <c r="B996" s="73"/>
      <c r="C996" s="74"/>
      <c r="D996" s="75"/>
      <c r="E996" s="76"/>
      <c r="F996" s="75"/>
      <c r="G996" s="62"/>
      <c r="H996" s="63" t="str">
        <f t="shared" si="1"/>
        <v/>
      </c>
      <c r="I996" s="55"/>
    </row>
    <row r="997">
      <c r="A997" s="67"/>
      <c r="B997" s="73"/>
      <c r="C997" s="74"/>
      <c r="D997" s="75"/>
      <c r="E997" s="76"/>
      <c r="F997" s="75"/>
      <c r="G997" s="62"/>
      <c r="H997" s="63" t="str">
        <f t="shared" si="1"/>
        <v/>
      </c>
      <c r="I997" s="55"/>
    </row>
    <row r="998">
      <c r="A998" s="67"/>
      <c r="B998" s="73"/>
      <c r="C998" s="74"/>
      <c r="D998" s="75"/>
      <c r="E998" s="76"/>
      <c r="F998" s="75"/>
      <c r="G998" s="62"/>
      <c r="H998" s="63" t="str">
        <f t="shared" si="1"/>
        <v/>
      </c>
      <c r="I998" s="55"/>
    </row>
    <row r="999">
      <c r="A999" s="67"/>
      <c r="B999" s="73"/>
      <c r="C999" s="74"/>
      <c r="D999" s="75"/>
      <c r="E999" s="76"/>
      <c r="F999" s="75"/>
      <c r="G999" s="62"/>
      <c r="H999" s="63" t="str">
        <f t="shared" si="1"/>
        <v/>
      </c>
      <c r="I999" s="55"/>
    </row>
    <row r="1000">
      <c r="A1000" s="67"/>
      <c r="B1000" s="73"/>
      <c r="C1000" s="74"/>
      <c r="D1000" s="75"/>
      <c r="E1000" s="76"/>
      <c r="F1000" s="75"/>
      <c r="G1000" s="62"/>
      <c r="H1000" s="63" t="str">
        <f t="shared" si="1"/>
        <v/>
      </c>
      <c r="I1000" s="55"/>
    </row>
    <row r="1001">
      <c r="A1001" s="67"/>
      <c r="B1001" s="73"/>
      <c r="C1001" s="74"/>
      <c r="D1001" s="75"/>
      <c r="E1001" s="76"/>
      <c r="F1001" s="75"/>
      <c r="G1001" s="62"/>
      <c r="H1001" s="63" t="str">
        <f t="shared" si="1"/>
        <v/>
      </c>
      <c r="I1001" s="55"/>
    </row>
    <row r="1002">
      <c r="A1002" s="67"/>
      <c r="B1002" s="258"/>
      <c r="C1002" s="259"/>
      <c r="D1002" s="260"/>
      <c r="E1002" s="261"/>
      <c r="F1002" s="260"/>
      <c r="G1002" s="262"/>
      <c r="H1002" s="263" t="str">
        <f t="shared" si="1"/>
        <v/>
      </c>
      <c r="I1002" s="55"/>
    </row>
    <row r="1003">
      <c r="A1003" s="264"/>
      <c r="B1003" s="266"/>
      <c r="C1003" s="266"/>
      <c r="D1003" s="266"/>
      <c r="E1003" s="266"/>
      <c r="F1003" s="266"/>
      <c r="G1003" s="266"/>
      <c r="H1003" s="266"/>
      <c r="I1003" s="264"/>
    </row>
  </sheetData>
  <mergeCells count="2">
    <mergeCell ref="A1:I1"/>
    <mergeCell ref="B2:H2"/>
  </mergeCells>
  <dataValidations>
    <dataValidation type="list" allowBlank="1" showErrorMessage="1" sqref="G4:G1002">
      <formula1>Units!$B$4:$D$64</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E1CD"/>
    <outlinePr summaryBelow="0" summaryRight="0"/>
  </sheetPr>
  <sheetViews>
    <sheetView workbookViewId="0"/>
  </sheetViews>
  <sheetFormatPr customHeight="1" defaultColWidth="12.63" defaultRowHeight="15.75"/>
  <cols>
    <col customWidth="1" min="1" max="1" width="3.25"/>
    <col customWidth="1" min="2" max="2" width="21.5"/>
    <col customWidth="1" min="3" max="3" width="16.38"/>
    <col customWidth="1" min="4" max="4" width="3.25"/>
  </cols>
  <sheetData>
    <row r="1" ht="6.0" customHeight="1">
      <c r="A1" s="2"/>
      <c r="B1" s="3"/>
      <c r="C1" s="3"/>
      <c r="D1" s="4"/>
    </row>
    <row r="2">
      <c r="A2" s="5"/>
      <c r="B2" s="8"/>
      <c r="C2" s="11"/>
      <c r="D2" s="14"/>
    </row>
    <row r="3">
      <c r="A3" s="16"/>
      <c r="B3" s="19" t="s">
        <v>2</v>
      </c>
      <c r="C3" s="22" t="s">
        <v>5</v>
      </c>
      <c r="D3" s="24"/>
    </row>
    <row r="4">
      <c r="A4" s="25"/>
      <c r="B4" s="30" t="s">
        <v>10</v>
      </c>
      <c r="C4" s="32"/>
      <c r="D4" s="35"/>
    </row>
    <row r="5">
      <c r="A5" s="25"/>
      <c r="B5" s="30" t="s">
        <v>13</v>
      </c>
      <c r="C5" s="32"/>
      <c r="D5" s="35"/>
    </row>
    <row r="6">
      <c r="A6" s="38"/>
      <c r="B6" s="30" t="s">
        <v>14</v>
      </c>
      <c r="C6" s="32"/>
      <c r="D6" s="41"/>
    </row>
    <row r="7">
      <c r="A7" s="38"/>
      <c r="B7" s="30" t="s">
        <v>15</v>
      </c>
      <c r="C7" s="32"/>
      <c r="D7" s="41"/>
    </row>
    <row r="8">
      <c r="A8" s="38"/>
      <c r="B8" s="30" t="s">
        <v>16</v>
      </c>
      <c r="C8" s="32"/>
      <c r="D8" s="41"/>
    </row>
    <row r="9">
      <c r="A9" s="38"/>
      <c r="B9" s="30" t="s">
        <v>17</v>
      </c>
      <c r="C9" s="32"/>
      <c r="D9" s="41"/>
    </row>
    <row r="10">
      <c r="A10" s="38"/>
      <c r="B10" s="30" t="s">
        <v>18</v>
      </c>
      <c r="C10" s="32"/>
      <c r="D10" s="41"/>
    </row>
    <row r="11">
      <c r="A11" s="38"/>
      <c r="B11" s="30" t="s">
        <v>20</v>
      </c>
      <c r="C11" s="32"/>
      <c r="D11" s="41"/>
    </row>
    <row r="12">
      <c r="A12" s="38"/>
      <c r="B12" s="30" t="s">
        <v>21</v>
      </c>
      <c r="C12" s="32"/>
      <c r="D12" s="41"/>
    </row>
    <row r="13">
      <c r="A13" s="38"/>
      <c r="B13" s="30" t="s">
        <v>22</v>
      </c>
      <c r="C13" s="32"/>
      <c r="D13" s="41"/>
    </row>
    <row r="14">
      <c r="A14" s="38"/>
      <c r="B14" s="30" t="s">
        <v>23</v>
      </c>
      <c r="C14" s="32"/>
      <c r="D14" s="41"/>
    </row>
    <row r="15">
      <c r="A15" s="38"/>
      <c r="B15" s="30" t="s">
        <v>24</v>
      </c>
      <c r="C15" s="32"/>
      <c r="D15" s="41"/>
    </row>
    <row r="16">
      <c r="A16" s="38"/>
      <c r="B16" s="30"/>
      <c r="C16" s="46"/>
      <c r="D16" s="41"/>
    </row>
    <row r="17">
      <c r="A17" s="38"/>
      <c r="B17" s="30"/>
      <c r="C17" s="46"/>
      <c r="D17" s="41"/>
    </row>
    <row r="18">
      <c r="A18" s="38"/>
      <c r="B18" s="47"/>
      <c r="C18" s="49"/>
      <c r="D18" s="41"/>
    </row>
    <row r="19">
      <c r="A19" s="38"/>
      <c r="B19" s="47"/>
      <c r="C19" s="49"/>
      <c r="D19" s="41"/>
    </row>
    <row r="20">
      <c r="A20" s="38"/>
      <c r="B20" s="47"/>
      <c r="C20" s="49"/>
      <c r="D20" s="41"/>
    </row>
    <row r="21">
      <c r="A21" s="38"/>
      <c r="B21" s="47"/>
      <c r="C21" s="49"/>
      <c r="D21" s="41"/>
    </row>
    <row r="22">
      <c r="A22" s="38"/>
      <c r="B22" s="50"/>
      <c r="C22" s="51"/>
      <c r="D22" s="41"/>
    </row>
    <row r="23">
      <c r="A23" s="52"/>
      <c r="B23" s="53" t="s">
        <v>31</v>
      </c>
      <c r="C23" s="59">
        <f>SUM(C4:C22)</f>
        <v>0</v>
      </c>
      <c r="D23" s="61"/>
    </row>
    <row r="24">
      <c r="A24" s="52"/>
      <c r="B24" s="64" t="s">
        <v>36</v>
      </c>
      <c r="C24" s="65">
        <f>SUM(C4:C22)*0.1</f>
        <v>0</v>
      </c>
      <c r="D24" s="61"/>
    </row>
    <row r="25">
      <c r="A25" s="52"/>
      <c r="B25" s="66" t="s">
        <v>41</v>
      </c>
      <c r="C25" s="68">
        <f>SUM(C23:C24)</f>
        <v>0</v>
      </c>
      <c r="D25" s="61"/>
    </row>
    <row r="26">
      <c r="A26" s="52"/>
      <c r="B26" s="70"/>
      <c r="C26" s="72"/>
      <c r="D26" s="61"/>
    </row>
  </sheetData>
  <mergeCells count="1">
    <mergeCell ref="A1:D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31.38"/>
    <col customWidth="1" min="3" max="3" width="15.63"/>
    <col customWidth="1" min="6" max="6" width="12.63"/>
    <col customWidth="1" min="7" max="7" width="14.63"/>
    <col customWidth="1" min="8" max="8" width="16.25"/>
    <col customWidth="1" min="9" max="9" width="14.0"/>
    <col customWidth="1" min="10" max="26" width="3.25"/>
    <col customWidth="1" hidden="1" min="27" max="30" width="0.38"/>
  </cols>
  <sheetData>
    <row r="1" ht="6.0" customHeight="1">
      <c r="A1" s="78"/>
      <c r="B1" s="78"/>
      <c r="C1" s="79"/>
      <c r="D1" s="78"/>
      <c r="E1" s="78"/>
      <c r="F1" s="78"/>
      <c r="G1" s="79"/>
      <c r="H1" s="80"/>
      <c r="I1" s="80"/>
      <c r="J1" s="78"/>
      <c r="K1" s="78"/>
      <c r="L1" s="78"/>
      <c r="M1" s="78"/>
      <c r="N1" s="78"/>
      <c r="O1" s="78"/>
      <c r="P1" s="78"/>
      <c r="Q1" s="78"/>
      <c r="R1" s="78"/>
      <c r="S1" s="78"/>
      <c r="T1" s="78"/>
      <c r="U1" s="78"/>
      <c r="V1" s="78"/>
      <c r="W1" s="78"/>
      <c r="X1" s="78"/>
      <c r="Y1" s="78"/>
      <c r="Z1" s="78"/>
      <c r="AA1" s="82"/>
      <c r="AB1" s="82"/>
      <c r="AC1" s="82"/>
      <c r="AD1" s="82"/>
    </row>
    <row r="2">
      <c r="A2" s="83"/>
      <c r="B2" s="83"/>
      <c r="C2" s="84"/>
      <c r="D2" s="83"/>
      <c r="E2" s="83"/>
      <c r="F2" s="83"/>
      <c r="G2" s="84"/>
      <c r="H2" s="85"/>
      <c r="I2" s="85"/>
      <c r="J2" s="83"/>
      <c r="K2" s="83"/>
      <c r="L2" s="86"/>
      <c r="M2" s="86"/>
      <c r="N2" s="86"/>
      <c r="O2" s="83"/>
      <c r="P2" s="83"/>
      <c r="Q2" s="83"/>
      <c r="R2" s="83"/>
      <c r="S2" s="83"/>
      <c r="T2" s="83"/>
      <c r="U2" s="83"/>
      <c r="V2" s="83"/>
      <c r="W2" s="83"/>
      <c r="X2" s="83"/>
      <c r="Y2" s="83"/>
      <c r="Z2" s="83"/>
      <c r="AA2" s="87"/>
      <c r="AB2" s="87"/>
      <c r="AC2" s="87"/>
      <c r="AD2" s="87"/>
    </row>
    <row r="3">
      <c r="A3" s="83"/>
      <c r="B3" s="88"/>
      <c r="C3" s="89"/>
      <c r="D3" s="88"/>
      <c r="E3" s="88"/>
      <c r="F3" s="88"/>
      <c r="G3" s="89"/>
      <c r="H3" s="90"/>
      <c r="I3" s="90"/>
      <c r="J3" s="83"/>
      <c r="K3" s="86"/>
      <c r="L3" s="86"/>
      <c r="M3" s="86"/>
      <c r="N3" s="86"/>
      <c r="O3" s="86"/>
      <c r="P3" s="86"/>
      <c r="Q3" s="86"/>
      <c r="R3" s="86"/>
      <c r="S3" s="86"/>
      <c r="T3" s="86"/>
      <c r="U3" s="86"/>
      <c r="V3" s="86"/>
      <c r="W3" s="86"/>
      <c r="X3" s="86"/>
      <c r="Y3" s="86"/>
      <c r="Z3" s="83"/>
      <c r="AA3" s="87"/>
      <c r="AB3" s="87"/>
      <c r="AC3" s="87"/>
      <c r="AD3" s="87"/>
    </row>
    <row r="4">
      <c r="A4" s="91"/>
      <c r="B4" s="92" t="s">
        <v>51</v>
      </c>
      <c r="C4" s="93" t="s">
        <v>52</v>
      </c>
      <c r="D4" s="94" t="s">
        <v>53</v>
      </c>
      <c r="E4" s="94" t="s">
        <v>54</v>
      </c>
      <c r="F4" s="94" t="s">
        <v>55</v>
      </c>
      <c r="G4" s="93" t="s">
        <v>56</v>
      </c>
      <c r="H4" s="95" t="s">
        <v>57</v>
      </c>
      <c r="I4" s="96" t="s">
        <v>58</v>
      </c>
      <c r="J4" s="97"/>
      <c r="K4" s="98"/>
      <c r="L4" s="98"/>
      <c r="M4" s="98"/>
      <c r="N4" s="98"/>
      <c r="O4" s="98"/>
      <c r="P4" s="98"/>
      <c r="Q4" s="98"/>
      <c r="R4" s="98"/>
      <c r="S4" s="98"/>
      <c r="T4" s="98"/>
      <c r="U4" s="98"/>
      <c r="V4" s="98"/>
      <c r="W4" s="98"/>
      <c r="X4" s="98"/>
      <c r="Y4" s="98"/>
      <c r="Z4" s="99"/>
      <c r="AA4" s="100" t="s">
        <v>59</v>
      </c>
      <c r="AB4" s="100" t="s">
        <v>60</v>
      </c>
      <c r="AC4" s="100" t="s">
        <v>61</v>
      </c>
      <c r="AD4" s="100" t="s">
        <v>62</v>
      </c>
    </row>
    <row r="5">
      <c r="A5" s="101"/>
      <c r="B5" s="102"/>
      <c r="C5" s="62"/>
      <c r="D5" s="103" t="str">
        <f t="shared" ref="D5:D498" si="1">IFERROR(SWITCH(C5,"Fixed Markup",INDIRECT("'"&amp;B5&amp;"'!$Q$16"),"Markup %",INDIRECT("'"&amp;B5&amp;"'!$AB$16"),"Margin %",INDIRECT("'"&amp;B5&amp;"'!$AM$16"),"Manual",INDIRECT("'"&amp;B5&amp;"'!$AX$11"),""),"")</f>
        <v/>
      </c>
      <c r="E5" s="103" t="str">
        <f t="shared" ref="E5:E498" si="2">IFERROR(INDIRECT("'"&amp;B5&amp;"'!$V$7"),"")</f>
        <v/>
      </c>
      <c r="F5" s="103" t="str">
        <f t="shared" ref="F5:F498" si="3">IFERROR(SWITCH(C5,"Fixed Markup",INDIRECT("'"&amp;B5&amp;"'!$P$17"),"Markup %",INDIRECT("'"&amp;B5&amp;"'!$AA$17"),"Margin %",INDIRECT("'"&amp;B5&amp;"'!$AL$17"),"Manual",INDIRECT("'"&amp;B5&amp;"'!$AW$16"),""),"")</f>
        <v/>
      </c>
      <c r="G5" s="62"/>
      <c r="H5" s="103">
        <f t="shared" ref="H5:H498" si="4">IFERROR(D5*G5,0)</f>
        <v>0</v>
      </c>
      <c r="I5" s="108">
        <f t="shared" ref="I5:I498" si="5">IFERROR(F5*G5,0)</f>
        <v>0</v>
      </c>
      <c r="J5" s="109"/>
      <c r="K5" s="110"/>
      <c r="L5" s="111"/>
      <c r="M5" s="111"/>
      <c r="N5" s="111"/>
      <c r="O5" s="112"/>
      <c r="P5" s="112"/>
      <c r="Q5" s="112"/>
      <c r="R5" s="112"/>
      <c r="S5" s="112"/>
      <c r="T5" s="112"/>
      <c r="U5" s="112"/>
      <c r="V5" s="112"/>
      <c r="W5" s="112"/>
      <c r="X5" s="112"/>
      <c r="Y5" s="113"/>
      <c r="Z5" s="114"/>
      <c r="AA5" s="115" t="str">
        <f t="shared" ref="AA5:AA498" si="6">IFERROR(SWITCH(C5,"Fixed Markup",INDIRECT("'"&amp;B5&amp;"'!$Q$14"),"Markup %",INDIRECT("'"&amp;B5&amp;"'!$AB$14"),"Margin %",INDIRECT("'"&amp;B5&amp;"'!$AM$14"),"Manual",INDIRECT("'"&amp;B5&amp;"'!$AX$14"),""),"")</f>
        <v/>
      </c>
      <c r="AB5" s="115">
        <f t="shared" ref="AB5:AB498" si="7">AA5*G5</f>
        <v>0</v>
      </c>
      <c r="AC5" s="115">
        <f t="shared" ref="AC5:AC498" si="8">H5-AB5</f>
        <v>0</v>
      </c>
      <c r="AD5" s="115">
        <f t="shared" ref="AD5:AD498" si="9">E5*G5</f>
        <v>0</v>
      </c>
    </row>
    <row r="6">
      <c r="A6" s="101"/>
      <c r="B6" s="102"/>
      <c r="C6" s="62"/>
      <c r="D6" s="103" t="str">
        <f t="shared" si="1"/>
        <v/>
      </c>
      <c r="E6" s="103" t="str">
        <f t="shared" si="2"/>
        <v/>
      </c>
      <c r="F6" s="103" t="str">
        <f t="shared" si="3"/>
        <v/>
      </c>
      <c r="G6" s="62"/>
      <c r="H6" s="103">
        <f t="shared" si="4"/>
        <v>0</v>
      </c>
      <c r="I6" s="108">
        <f t="shared" si="5"/>
        <v>0</v>
      </c>
      <c r="J6" s="109"/>
      <c r="K6" s="116"/>
      <c r="L6" s="117" t="s">
        <v>63</v>
      </c>
      <c r="M6" s="118"/>
      <c r="N6" s="118"/>
      <c r="O6" s="118"/>
      <c r="P6" s="118"/>
      <c r="Q6" s="118"/>
      <c r="R6" s="118"/>
      <c r="S6" s="118"/>
      <c r="T6" s="118"/>
      <c r="U6" s="118"/>
      <c r="V6" s="118"/>
      <c r="W6" s="118"/>
      <c r="X6" s="118"/>
      <c r="Y6" s="119"/>
      <c r="Z6" s="114"/>
      <c r="AA6" s="115" t="str">
        <f t="shared" si="6"/>
        <v/>
      </c>
      <c r="AB6" s="115">
        <f t="shared" si="7"/>
        <v>0</v>
      </c>
      <c r="AC6" s="115">
        <f t="shared" si="8"/>
        <v>0</v>
      </c>
      <c r="AD6" s="115">
        <f t="shared" si="9"/>
        <v>0</v>
      </c>
    </row>
    <row r="7">
      <c r="A7" s="101"/>
      <c r="B7" s="102"/>
      <c r="C7" s="62"/>
      <c r="D7" s="103" t="str">
        <f t="shared" si="1"/>
        <v/>
      </c>
      <c r="E7" s="103" t="str">
        <f t="shared" si="2"/>
        <v/>
      </c>
      <c r="F7" s="103" t="str">
        <f t="shared" si="3"/>
        <v/>
      </c>
      <c r="G7" s="62"/>
      <c r="H7" s="103">
        <f t="shared" si="4"/>
        <v>0</v>
      </c>
      <c r="I7" s="108">
        <f t="shared" si="5"/>
        <v>0</v>
      </c>
      <c r="J7" s="109"/>
      <c r="K7" s="116"/>
      <c r="L7" s="120"/>
      <c r="M7" s="120"/>
      <c r="N7" s="120"/>
      <c r="O7" s="120"/>
      <c r="P7" s="120"/>
      <c r="Q7" s="120"/>
      <c r="R7" s="120"/>
      <c r="S7" s="120"/>
      <c r="T7" s="120"/>
      <c r="U7" s="120"/>
      <c r="V7" s="120"/>
      <c r="W7" s="120"/>
      <c r="X7" s="120"/>
      <c r="Y7" s="119"/>
      <c r="Z7" s="114"/>
      <c r="AA7" s="115" t="str">
        <f t="shared" si="6"/>
        <v/>
      </c>
      <c r="AB7" s="115">
        <f t="shared" si="7"/>
        <v>0</v>
      </c>
      <c r="AC7" s="115">
        <f t="shared" si="8"/>
        <v>0</v>
      </c>
      <c r="AD7" s="115">
        <f t="shared" si="9"/>
        <v>0</v>
      </c>
    </row>
    <row r="8">
      <c r="A8" s="101"/>
      <c r="B8" s="121"/>
      <c r="C8" s="122"/>
      <c r="D8" s="103" t="str">
        <f t="shared" si="1"/>
        <v/>
      </c>
      <c r="E8" s="103" t="str">
        <f t="shared" si="2"/>
        <v/>
      </c>
      <c r="F8" s="103" t="str">
        <f t="shared" si="3"/>
        <v/>
      </c>
      <c r="G8" s="122"/>
      <c r="H8" s="103">
        <f t="shared" si="4"/>
        <v>0</v>
      </c>
      <c r="I8" s="108">
        <f t="shared" si="5"/>
        <v>0</v>
      </c>
      <c r="J8" s="109"/>
      <c r="K8" s="116"/>
      <c r="L8" s="123" t="s">
        <v>64</v>
      </c>
      <c r="M8" s="118"/>
      <c r="N8" s="118"/>
      <c r="O8" s="118"/>
      <c r="P8" s="118"/>
      <c r="Q8" s="118"/>
      <c r="R8" s="118"/>
      <c r="S8" s="118"/>
      <c r="T8" s="124">
        <f>IFERROR(SUM(H4:H33),"")</f>
        <v>0</v>
      </c>
      <c r="U8" s="125"/>
      <c r="V8" s="125"/>
      <c r="W8" s="125"/>
      <c r="X8" s="126"/>
      <c r="Y8" s="119"/>
      <c r="Z8" s="114"/>
      <c r="AA8" s="115" t="str">
        <f t="shared" si="6"/>
        <v/>
      </c>
      <c r="AB8" s="115">
        <f t="shared" si="7"/>
        <v>0</v>
      </c>
      <c r="AC8" s="115">
        <f t="shared" si="8"/>
        <v>0</v>
      </c>
      <c r="AD8" s="115">
        <f t="shared" si="9"/>
        <v>0</v>
      </c>
    </row>
    <row r="9">
      <c r="A9" s="101"/>
      <c r="B9" s="121"/>
      <c r="C9" s="122"/>
      <c r="D9" s="103" t="str">
        <f t="shared" si="1"/>
        <v/>
      </c>
      <c r="E9" s="103" t="str">
        <f t="shared" si="2"/>
        <v/>
      </c>
      <c r="F9" s="103" t="str">
        <f t="shared" si="3"/>
        <v/>
      </c>
      <c r="G9" s="122"/>
      <c r="H9" s="103">
        <f t="shared" si="4"/>
        <v>0</v>
      </c>
      <c r="I9" s="108">
        <f t="shared" si="5"/>
        <v>0</v>
      </c>
      <c r="J9" s="109"/>
      <c r="K9" s="116"/>
      <c r="L9" s="127" t="s">
        <v>65</v>
      </c>
      <c r="M9" s="128"/>
      <c r="N9" s="128"/>
      <c r="O9" s="128"/>
      <c r="P9" s="128"/>
      <c r="Q9" s="128"/>
      <c r="R9" s="128"/>
      <c r="S9" s="128"/>
      <c r="T9" s="129">
        <f>-SUM(AB5:AB498)</f>
        <v>0</v>
      </c>
      <c r="U9" s="130"/>
      <c r="V9" s="130"/>
      <c r="W9" s="130"/>
      <c r="X9" s="131"/>
      <c r="Y9" s="119"/>
      <c r="Z9" s="114"/>
      <c r="AA9" s="115" t="str">
        <f t="shared" si="6"/>
        <v/>
      </c>
      <c r="AB9" s="115">
        <f t="shared" si="7"/>
        <v>0</v>
      </c>
      <c r="AC9" s="115">
        <f t="shared" si="8"/>
        <v>0</v>
      </c>
      <c r="AD9" s="115">
        <f t="shared" si="9"/>
        <v>0</v>
      </c>
    </row>
    <row r="10">
      <c r="A10" s="101"/>
      <c r="B10" s="121"/>
      <c r="C10" s="122"/>
      <c r="D10" s="103" t="str">
        <f t="shared" si="1"/>
        <v/>
      </c>
      <c r="E10" s="103" t="str">
        <f t="shared" si="2"/>
        <v/>
      </c>
      <c r="F10" s="103" t="str">
        <f t="shared" si="3"/>
        <v/>
      </c>
      <c r="G10" s="122"/>
      <c r="H10" s="103">
        <f t="shared" si="4"/>
        <v>0</v>
      </c>
      <c r="I10" s="108">
        <f t="shared" si="5"/>
        <v>0</v>
      </c>
      <c r="J10" s="109"/>
      <c r="K10" s="116"/>
      <c r="L10" s="132"/>
      <c r="M10" s="132"/>
      <c r="N10" s="132"/>
      <c r="O10" s="132"/>
      <c r="P10" s="132"/>
      <c r="Q10" s="132"/>
      <c r="R10" s="132"/>
      <c r="S10" s="132"/>
      <c r="T10" s="132"/>
      <c r="U10" s="132"/>
      <c r="V10" s="132"/>
      <c r="W10" s="132"/>
      <c r="X10" s="132"/>
      <c r="Y10" s="119"/>
      <c r="Z10" s="114"/>
      <c r="AA10" s="115" t="str">
        <f t="shared" si="6"/>
        <v/>
      </c>
      <c r="AB10" s="115">
        <f t="shared" si="7"/>
        <v>0</v>
      </c>
      <c r="AC10" s="115">
        <f t="shared" si="8"/>
        <v>0</v>
      </c>
      <c r="AD10" s="115">
        <f t="shared" si="9"/>
        <v>0</v>
      </c>
    </row>
    <row r="11">
      <c r="A11" s="101"/>
      <c r="B11" s="121"/>
      <c r="C11" s="122"/>
      <c r="D11" s="103" t="str">
        <f t="shared" si="1"/>
        <v/>
      </c>
      <c r="E11" s="103" t="str">
        <f t="shared" si="2"/>
        <v/>
      </c>
      <c r="F11" s="103" t="str">
        <f t="shared" si="3"/>
        <v/>
      </c>
      <c r="G11" s="122"/>
      <c r="H11" s="103">
        <f t="shared" si="4"/>
        <v>0</v>
      </c>
      <c r="I11" s="108">
        <f t="shared" si="5"/>
        <v>0</v>
      </c>
      <c r="J11" s="109"/>
      <c r="K11" s="116"/>
      <c r="L11" s="133" t="s">
        <v>66</v>
      </c>
      <c r="M11" s="134"/>
      <c r="N11" s="134"/>
      <c r="O11" s="134"/>
      <c r="P11" s="134"/>
      <c r="Q11" s="134"/>
      <c r="R11" s="134"/>
      <c r="S11" s="134"/>
      <c r="T11" s="135">
        <f>SUM(T8:X9)</f>
        <v>0</v>
      </c>
      <c r="U11" s="125"/>
      <c r="V11" s="125"/>
      <c r="W11" s="125"/>
      <c r="X11" s="126"/>
      <c r="Y11" s="119"/>
      <c r="Z11" s="114"/>
      <c r="AA11" s="115" t="str">
        <f t="shared" si="6"/>
        <v/>
      </c>
      <c r="AB11" s="115">
        <f t="shared" si="7"/>
        <v>0</v>
      </c>
      <c r="AC11" s="115">
        <f t="shared" si="8"/>
        <v>0</v>
      </c>
      <c r="AD11" s="115">
        <f t="shared" si="9"/>
        <v>0</v>
      </c>
    </row>
    <row r="12">
      <c r="A12" s="101"/>
      <c r="B12" s="121"/>
      <c r="C12" s="122"/>
      <c r="D12" s="103" t="str">
        <f t="shared" si="1"/>
        <v/>
      </c>
      <c r="E12" s="103" t="str">
        <f t="shared" si="2"/>
        <v/>
      </c>
      <c r="F12" s="103" t="str">
        <f t="shared" si="3"/>
        <v/>
      </c>
      <c r="G12" s="122"/>
      <c r="H12" s="103">
        <f t="shared" si="4"/>
        <v>0</v>
      </c>
      <c r="I12" s="108">
        <f t="shared" si="5"/>
        <v>0</v>
      </c>
      <c r="J12" s="109"/>
      <c r="K12" s="116"/>
      <c r="L12" s="136" t="s">
        <v>67</v>
      </c>
      <c r="M12" s="137"/>
      <c r="N12" s="137"/>
      <c r="O12" s="137"/>
      <c r="P12" s="137"/>
      <c r="Q12" s="137"/>
      <c r="R12" s="137"/>
      <c r="S12" s="138"/>
      <c r="T12" s="139">
        <f>-IFERROR(SUMPRODUCT(E5:E98,G5:G98),"")</f>
        <v>0</v>
      </c>
      <c r="U12" s="130"/>
      <c r="V12" s="130"/>
      <c r="W12" s="130"/>
      <c r="X12" s="131"/>
      <c r="Y12" s="119"/>
      <c r="Z12" s="114"/>
      <c r="AA12" s="115" t="str">
        <f t="shared" si="6"/>
        <v/>
      </c>
      <c r="AB12" s="115">
        <f t="shared" si="7"/>
        <v>0</v>
      </c>
      <c r="AC12" s="115">
        <f t="shared" si="8"/>
        <v>0</v>
      </c>
      <c r="AD12" s="115">
        <f t="shared" si="9"/>
        <v>0</v>
      </c>
    </row>
    <row r="13">
      <c r="A13" s="101"/>
      <c r="B13" s="121"/>
      <c r="C13" s="122"/>
      <c r="D13" s="103" t="str">
        <f t="shared" si="1"/>
        <v/>
      </c>
      <c r="E13" s="103" t="str">
        <f t="shared" si="2"/>
        <v/>
      </c>
      <c r="F13" s="103" t="str">
        <f t="shared" si="3"/>
        <v/>
      </c>
      <c r="G13" s="122"/>
      <c r="H13" s="103">
        <f t="shared" si="4"/>
        <v>0</v>
      </c>
      <c r="I13" s="108">
        <f t="shared" si="5"/>
        <v>0</v>
      </c>
      <c r="J13" s="109"/>
      <c r="K13" s="116"/>
      <c r="L13" s="140"/>
      <c r="M13" s="140"/>
      <c r="N13" s="140"/>
      <c r="O13" s="140"/>
      <c r="P13" s="140"/>
      <c r="Q13" s="140"/>
      <c r="R13" s="140"/>
      <c r="S13" s="140"/>
      <c r="T13" s="140"/>
      <c r="U13" s="140"/>
      <c r="V13" s="140"/>
      <c r="W13" s="140"/>
      <c r="X13" s="140"/>
      <c r="Y13" s="119"/>
      <c r="Z13" s="114"/>
      <c r="AA13" s="115" t="str">
        <f t="shared" si="6"/>
        <v/>
      </c>
      <c r="AB13" s="115">
        <f t="shared" si="7"/>
        <v>0</v>
      </c>
      <c r="AC13" s="115">
        <f t="shared" si="8"/>
        <v>0</v>
      </c>
      <c r="AD13" s="115">
        <f t="shared" si="9"/>
        <v>0</v>
      </c>
    </row>
    <row r="14">
      <c r="A14" s="101"/>
      <c r="B14" s="121"/>
      <c r="C14" s="122"/>
      <c r="D14" s="103" t="str">
        <f t="shared" si="1"/>
        <v/>
      </c>
      <c r="E14" s="103" t="str">
        <f t="shared" si="2"/>
        <v/>
      </c>
      <c r="F14" s="103" t="str">
        <f t="shared" si="3"/>
        <v/>
      </c>
      <c r="G14" s="122"/>
      <c r="H14" s="103">
        <f t="shared" si="4"/>
        <v>0</v>
      </c>
      <c r="I14" s="108">
        <f t="shared" si="5"/>
        <v>0</v>
      </c>
      <c r="J14" s="109"/>
      <c r="K14" s="116"/>
      <c r="L14" s="123" t="s">
        <v>68</v>
      </c>
      <c r="M14" s="118"/>
      <c r="N14" s="118"/>
      <c r="O14" s="118"/>
      <c r="P14" s="118"/>
      <c r="Q14" s="118"/>
      <c r="R14" s="118"/>
      <c r="S14" s="118"/>
      <c r="T14" s="124">
        <f>SUM(T11:X12)</f>
        <v>0</v>
      </c>
      <c r="U14" s="125"/>
      <c r="V14" s="125"/>
      <c r="W14" s="125"/>
      <c r="X14" s="126"/>
      <c r="Y14" s="119"/>
      <c r="Z14" s="114"/>
      <c r="AA14" s="115" t="str">
        <f t="shared" si="6"/>
        <v/>
      </c>
      <c r="AB14" s="115">
        <f t="shared" si="7"/>
        <v>0</v>
      </c>
      <c r="AC14" s="115">
        <f t="shared" si="8"/>
        <v>0</v>
      </c>
      <c r="AD14" s="115">
        <f t="shared" si="9"/>
        <v>0</v>
      </c>
    </row>
    <row r="15">
      <c r="A15" s="101"/>
      <c r="B15" s="121"/>
      <c r="C15" s="122"/>
      <c r="D15" s="103" t="str">
        <f t="shared" si="1"/>
        <v/>
      </c>
      <c r="E15" s="103" t="str">
        <f t="shared" si="2"/>
        <v/>
      </c>
      <c r="F15" s="103" t="str">
        <f t="shared" si="3"/>
        <v/>
      </c>
      <c r="G15" s="122"/>
      <c r="H15" s="103">
        <f t="shared" si="4"/>
        <v>0</v>
      </c>
      <c r="I15" s="108">
        <f t="shared" si="5"/>
        <v>0</v>
      </c>
      <c r="J15" s="109"/>
      <c r="K15" s="116"/>
      <c r="L15" s="136" t="s">
        <v>69</v>
      </c>
      <c r="M15" s="141"/>
      <c r="N15" s="141"/>
      <c r="O15" s="141"/>
      <c r="P15" s="141"/>
      <c r="Q15" s="138"/>
      <c r="R15" s="138"/>
      <c r="S15" s="138"/>
      <c r="T15" s="139">
        <f>-OPEX!C25</f>
        <v>0</v>
      </c>
      <c r="U15" s="130"/>
      <c r="V15" s="130"/>
      <c r="W15" s="130"/>
      <c r="X15" s="131"/>
      <c r="Y15" s="119"/>
      <c r="Z15" s="114"/>
      <c r="AA15" s="115" t="str">
        <f t="shared" si="6"/>
        <v/>
      </c>
      <c r="AB15" s="115">
        <f t="shared" si="7"/>
        <v>0</v>
      </c>
      <c r="AC15" s="115">
        <f t="shared" si="8"/>
        <v>0</v>
      </c>
      <c r="AD15" s="115">
        <f t="shared" si="9"/>
        <v>0</v>
      </c>
    </row>
    <row r="16">
      <c r="A16" s="101"/>
      <c r="B16" s="121"/>
      <c r="C16" s="122"/>
      <c r="D16" s="103" t="str">
        <f t="shared" si="1"/>
        <v/>
      </c>
      <c r="E16" s="103" t="str">
        <f t="shared" si="2"/>
        <v/>
      </c>
      <c r="F16" s="103" t="str">
        <f t="shared" si="3"/>
        <v/>
      </c>
      <c r="G16" s="122"/>
      <c r="H16" s="103">
        <f t="shared" si="4"/>
        <v>0</v>
      </c>
      <c r="I16" s="108">
        <f t="shared" si="5"/>
        <v>0</v>
      </c>
      <c r="J16" s="109"/>
      <c r="K16" s="116"/>
      <c r="L16" s="132"/>
      <c r="M16" s="132"/>
      <c r="N16" s="132"/>
      <c r="O16" s="132"/>
      <c r="P16" s="132"/>
      <c r="Q16" s="132"/>
      <c r="R16" s="132"/>
      <c r="S16" s="132"/>
      <c r="T16" s="132"/>
      <c r="U16" s="132"/>
      <c r="V16" s="132"/>
      <c r="W16" s="132"/>
      <c r="X16" s="132"/>
      <c r="Y16" s="119"/>
      <c r="Z16" s="114"/>
      <c r="AA16" s="115" t="str">
        <f t="shared" si="6"/>
        <v/>
      </c>
      <c r="AB16" s="115">
        <f t="shared" si="7"/>
        <v>0</v>
      </c>
      <c r="AC16" s="115">
        <f t="shared" si="8"/>
        <v>0</v>
      </c>
      <c r="AD16" s="115">
        <f t="shared" si="9"/>
        <v>0</v>
      </c>
    </row>
    <row r="17">
      <c r="A17" s="101"/>
      <c r="B17" s="121"/>
      <c r="C17" s="122"/>
      <c r="D17" s="103" t="str">
        <f t="shared" si="1"/>
        <v/>
      </c>
      <c r="E17" s="103" t="str">
        <f t="shared" si="2"/>
        <v/>
      </c>
      <c r="F17" s="103" t="str">
        <f t="shared" si="3"/>
        <v/>
      </c>
      <c r="G17" s="122"/>
      <c r="H17" s="103">
        <f t="shared" si="4"/>
        <v>0</v>
      </c>
      <c r="I17" s="108">
        <f t="shared" si="5"/>
        <v>0</v>
      </c>
      <c r="J17" s="109"/>
      <c r="K17" s="116"/>
      <c r="L17" s="117" t="s">
        <v>70</v>
      </c>
      <c r="M17" s="142"/>
      <c r="N17" s="142"/>
      <c r="O17" s="142"/>
      <c r="P17" s="142"/>
      <c r="Q17" s="142"/>
      <c r="R17" s="142"/>
      <c r="S17" s="142"/>
      <c r="T17" s="143">
        <f>T14+T15</f>
        <v>0</v>
      </c>
      <c r="U17" s="125"/>
      <c r="V17" s="125"/>
      <c r="W17" s="125"/>
      <c r="X17" s="126"/>
      <c r="Y17" s="119"/>
      <c r="Z17" s="114"/>
      <c r="AA17" s="115" t="str">
        <f t="shared" si="6"/>
        <v/>
      </c>
      <c r="AB17" s="115">
        <f t="shared" si="7"/>
        <v>0</v>
      </c>
      <c r="AC17" s="115">
        <f t="shared" si="8"/>
        <v>0</v>
      </c>
      <c r="AD17" s="115">
        <f t="shared" si="9"/>
        <v>0</v>
      </c>
    </row>
    <row r="18">
      <c r="A18" s="101"/>
      <c r="B18" s="121"/>
      <c r="C18" s="122"/>
      <c r="D18" s="103" t="str">
        <f t="shared" si="1"/>
        <v/>
      </c>
      <c r="E18" s="103" t="str">
        <f t="shared" si="2"/>
        <v/>
      </c>
      <c r="F18" s="103" t="str">
        <f t="shared" si="3"/>
        <v/>
      </c>
      <c r="G18" s="122"/>
      <c r="H18" s="103">
        <f t="shared" si="4"/>
        <v>0</v>
      </c>
      <c r="I18" s="108">
        <f t="shared" si="5"/>
        <v>0</v>
      </c>
      <c r="J18" s="109"/>
      <c r="K18" s="116"/>
      <c r="L18" s="144" t="s">
        <v>71</v>
      </c>
      <c r="M18" s="145"/>
      <c r="N18" s="145"/>
      <c r="O18" s="145"/>
      <c r="P18" s="145"/>
      <c r="Q18" s="145"/>
      <c r="R18" s="118"/>
      <c r="S18" s="118"/>
      <c r="T18" s="146">
        <f>IFERROR(T17/T11,0)</f>
        <v>0</v>
      </c>
      <c r="U18" s="125"/>
      <c r="V18" s="125"/>
      <c r="W18" s="125"/>
      <c r="X18" s="126"/>
      <c r="Y18" s="119"/>
      <c r="Z18" s="114"/>
      <c r="AA18" s="115" t="str">
        <f t="shared" si="6"/>
        <v/>
      </c>
      <c r="AB18" s="115">
        <f t="shared" si="7"/>
        <v>0</v>
      </c>
      <c r="AC18" s="115">
        <f t="shared" si="8"/>
        <v>0</v>
      </c>
      <c r="AD18" s="115">
        <f t="shared" si="9"/>
        <v>0</v>
      </c>
    </row>
    <row r="19">
      <c r="A19" s="101"/>
      <c r="B19" s="121"/>
      <c r="C19" s="122"/>
      <c r="D19" s="103" t="str">
        <f t="shared" si="1"/>
        <v/>
      </c>
      <c r="E19" s="103" t="str">
        <f t="shared" si="2"/>
        <v/>
      </c>
      <c r="F19" s="103" t="str">
        <f t="shared" si="3"/>
        <v/>
      </c>
      <c r="G19" s="122"/>
      <c r="H19" s="103">
        <f t="shared" si="4"/>
        <v>0</v>
      </c>
      <c r="I19" s="108">
        <f t="shared" si="5"/>
        <v>0</v>
      </c>
      <c r="J19" s="109"/>
      <c r="K19" s="116"/>
      <c r="L19" s="120"/>
      <c r="M19" s="120"/>
      <c r="N19" s="120"/>
      <c r="O19" s="120"/>
      <c r="P19" s="120"/>
      <c r="Q19" s="120"/>
      <c r="R19" s="120"/>
      <c r="S19" s="120"/>
      <c r="T19" s="120"/>
      <c r="U19" s="120"/>
      <c r="V19" s="120"/>
      <c r="W19" s="120"/>
      <c r="X19" s="120"/>
      <c r="Y19" s="119"/>
      <c r="Z19" s="114"/>
      <c r="AA19" s="115" t="str">
        <f t="shared" si="6"/>
        <v/>
      </c>
      <c r="AB19" s="115">
        <f t="shared" si="7"/>
        <v>0</v>
      </c>
      <c r="AC19" s="115">
        <f t="shared" si="8"/>
        <v>0</v>
      </c>
      <c r="AD19" s="115">
        <f t="shared" si="9"/>
        <v>0</v>
      </c>
    </row>
    <row r="20">
      <c r="A20" s="101"/>
      <c r="B20" s="121"/>
      <c r="C20" s="122"/>
      <c r="D20" s="103" t="str">
        <f t="shared" si="1"/>
        <v/>
      </c>
      <c r="E20" s="103" t="str">
        <f t="shared" si="2"/>
        <v/>
      </c>
      <c r="F20" s="103" t="str">
        <f t="shared" si="3"/>
        <v/>
      </c>
      <c r="G20" s="122"/>
      <c r="H20" s="103">
        <f t="shared" si="4"/>
        <v>0</v>
      </c>
      <c r="I20" s="108">
        <f t="shared" si="5"/>
        <v>0</v>
      </c>
      <c r="J20" s="109"/>
      <c r="K20" s="116"/>
      <c r="L20" s="117" t="s">
        <v>72</v>
      </c>
      <c r="M20" s="118"/>
      <c r="N20" s="118"/>
      <c r="O20" s="118"/>
      <c r="P20" s="118"/>
      <c r="Q20" s="118"/>
      <c r="R20" s="118"/>
      <c r="S20" s="118"/>
      <c r="T20" s="118"/>
      <c r="U20" s="118"/>
      <c r="V20" s="118"/>
      <c r="W20" s="118"/>
      <c r="X20" s="118"/>
      <c r="Y20" s="119"/>
      <c r="Z20" s="114"/>
      <c r="AA20" s="115" t="str">
        <f t="shared" si="6"/>
        <v/>
      </c>
      <c r="AB20" s="115">
        <f t="shared" si="7"/>
        <v>0</v>
      </c>
      <c r="AC20" s="115">
        <f t="shared" si="8"/>
        <v>0</v>
      </c>
      <c r="AD20" s="115">
        <f t="shared" si="9"/>
        <v>0</v>
      </c>
    </row>
    <row r="21">
      <c r="A21" s="101"/>
      <c r="B21" s="121"/>
      <c r="C21" s="122"/>
      <c r="D21" s="103" t="str">
        <f t="shared" si="1"/>
        <v/>
      </c>
      <c r="E21" s="103" t="str">
        <f t="shared" si="2"/>
        <v/>
      </c>
      <c r="F21" s="103" t="str">
        <f t="shared" si="3"/>
        <v/>
      </c>
      <c r="G21" s="122"/>
      <c r="H21" s="103">
        <f t="shared" si="4"/>
        <v>0</v>
      </c>
      <c r="I21" s="108">
        <f t="shared" si="5"/>
        <v>0</v>
      </c>
      <c r="J21" s="109"/>
      <c r="K21" s="116"/>
      <c r="L21" s="118"/>
      <c r="M21" s="118"/>
      <c r="N21" s="118"/>
      <c r="O21" s="118"/>
      <c r="P21" s="118"/>
      <c r="Q21" s="118"/>
      <c r="R21" s="118"/>
      <c r="S21" s="118"/>
      <c r="T21" s="118"/>
      <c r="U21" s="118"/>
      <c r="V21" s="118"/>
      <c r="W21" s="118"/>
      <c r="X21" s="118"/>
      <c r="Y21" s="119"/>
      <c r="Z21" s="114"/>
      <c r="AA21" s="115" t="str">
        <f t="shared" si="6"/>
        <v/>
      </c>
      <c r="AB21" s="115">
        <f t="shared" si="7"/>
        <v>0</v>
      </c>
      <c r="AC21" s="115">
        <f t="shared" si="8"/>
        <v>0</v>
      </c>
      <c r="AD21" s="115">
        <f t="shared" si="9"/>
        <v>0</v>
      </c>
    </row>
    <row r="22">
      <c r="A22" s="101"/>
      <c r="B22" s="121"/>
      <c r="C22" s="122"/>
      <c r="D22" s="103" t="str">
        <f t="shared" si="1"/>
        <v/>
      </c>
      <c r="E22" s="103" t="str">
        <f t="shared" si="2"/>
        <v/>
      </c>
      <c r="F22" s="103" t="str">
        <f t="shared" si="3"/>
        <v/>
      </c>
      <c r="G22" s="122"/>
      <c r="H22" s="103">
        <f t="shared" si="4"/>
        <v>0</v>
      </c>
      <c r="I22" s="108">
        <f t="shared" si="5"/>
        <v>0</v>
      </c>
      <c r="J22" s="109"/>
      <c r="K22" s="116"/>
      <c r="L22" s="147" t="s">
        <v>73</v>
      </c>
      <c r="M22" s="148"/>
      <c r="N22" s="148"/>
      <c r="O22" s="148"/>
      <c r="P22" s="148"/>
      <c r="Q22" s="148"/>
      <c r="R22" s="148"/>
      <c r="S22" s="148"/>
      <c r="T22" s="148"/>
      <c r="U22" s="148"/>
      <c r="V22" s="148"/>
      <c r="W22" s="148"/>
      <c r="X22" s="149"/>
      <c r="Y22" s="119"/>
      <c r="Z22" s="114"/>
      <c r="AA22" s="115" t="str">
        <f t="shared" si="6"/>
        <v/>
      </c>
      <c r="AB22" s="115">
        <f t="shared" si="7"/>
        <v>0</v>
      </c>
      <c r="AC22" s="115">
        <f t="shared" si="8"/>
        <v>0</v>
      </c>
      <c r="AD22" s="115">
        <f t="shared" si="9"/>
        <v>0</v>
      </c>
    </row>
    <row r="23">
      <c r="A23" s="101"/>
      <c r="B23" s="121"/>
      <c r="C23" s="122"/>
      <c r="D23" s="103" t="str">
        <f t="shared" si="1"/>
        <v/>
      </c>
      <c r="E23" s="103" t="str">
        <f t="shared" si="2"/>
        <v/>
      </c>
      <c r="F23" s="103" t="str">
        <f t="shared" si="3"/>
        <v/>
      </c>
      <c r="G23" s="122"/>
      <c r="H23" s="103">
        <f t="shared" si="4"/>
        <v>0</v>
      </c>
      <c r="I23" s="108">
        <f t="shared" si="5"/>
        <v>0</v>
      </c>
      <c r="J23" s="109"/>
      <c r="K23" s="116"/>
      <c r="L23" s="150"/>
      <c r="X23" s="151"/>
      <c r="Y23" s="119"/>
      <c r="Z23" s="114"/>
      <c r="AA23" s="115" t="str">
        <f t="shared" si="6"/>
        <v/>
      </c>
      <c r="AB23" s="115">
        <f t="shared" si="7"/>
        <v>0</v>
      </c>
      <c r="AC23" s="115">
        <f t="shared" si="8"/>
        <v>0</v>
      </c>
      <c r="AD23" s="115">
        <f t="shared" si="9"/>
        <v>0</v>
      </c>
    </row>
    <row r="24">
      <c r="A24" s="101"/>
      <c r="B24" s="121"/>
      <c r="C24" s="122"/>
      <c r="D24" s="103" t="str">
        <f t="shared" si="1"/>
        <v/>
      </c>
      <c r="E24" s="103" t="str">
        <f t="shared" si="2"/>
        <v/>
      </c>
      <c r="F24" s="103" t="str">
        <f t="shared" si="3"/>
        <v/>
      </c>
      <c r="G24" s="122"/>
      <c r="H24" s="103">
        <f t="shared" si="4"/>
        <v>0</v>
      </c>
      <c r="I24" s="108">
        <f t="shared" si="5"/>
        <v>0</v>
      </c>
      <c r="J24" s="109"/>
      <c r="K24" s="116"/>
      <c r="L24" s="150"/>
      <c r="X24" s="151"/>
      <c r="Y24" s="119"/>
      <c r="Z24" s="114"/>
      <c r="AA24" s="115" t="str">
        <f t="shared" si="6"/>
        <v/>
      </c>
      <c r="AB24" s="115">
        <f t="shared" si="7"/>
        <v>0</v>
      </c>
      <c r="AC24" s="115">
        <f t="shared" si="8"/>
        <v>0</v>
      </c>
      <c r="AD24" s="115">
        <f t="shared" si="9"/>
        <v>0</v>
      </c>
    </row>
    <row r="25">
      <c r="A25" s="101"/>
      <c r="B25" s="121"/>
      <c r="C25" s="122"/>
      <c r="D25" s="103" t="str">
        <f t="shared" si="1"/>
        <v/>
      </c>
      <c r="E25" s="103" t="str">
        <f t="shared" si="2"/>
        <v/>
      </c>
      <c r="F25" s="103" t="str">
        <f t="shared" si="3"/>
        <v/>
      </c>
      <c r="G25" s="122"/>
      <c r="H25" s="103">
        <f t="shared" si="4"/>
        <v>0</v>
      </c>
      <c r="I25" s="108">
        <f t="shared" si="5"/>
        <v>0</v>
      </c>
      <c r="J25" s="109"/>
      <c r="K25" s="116"/>
      <c r="L25" s="150"/>
      <c r="X25" s="151"/>
      <c r="Y25" s="119"/>
      <c r="Z25" s="114"/>
      <c r="AA25" s="115" t="str">
        <f t="shared" si="6"/>
        <v/>
      </c>
      <c r="AB25" s="115">
        <f t="shared" si="7"/>
        <v>0</v>
      </c>
      <c r="AC25" s="115">
        <f t="shared" si="8"/>
        <v>0</v>
      </c>
      <c r="AD25" s="115">
        <f t="shared" si="9"/>
        <v>0</v>
      </c>
    </row>
    <row r="26">
      <c r="A26" s="101"/>
      <c r="B26" s="121"/>
      <c r="C26" s="122"/>
      <c r="D26" s="103" t="str">
        <f t="shared" si="1"/>
        <v/>
      </c>
      <c r="E26" s="103" t="str">
        <f t="shared" si="2"/>
        <v/>
      </c>
      <c r="F26" s="103" t="str">
        <f t="shared" si="3"/>
        <v/>
      </c>
      <c r="G26" s="122"/>
      <c r="H26" s="103">
        <f t="shared" si="4"/>
        <v>0</v>
      </c>
      <c r="I26" s="108">
        <f t="shared" si="5"/>
        <v>0</v>
      </c>
      <c r="J26" s="109"/>
      <c r="K26" s="116"/>
      <c r="L26" s="150"/>
      <c r="X26" s="151"/>
      <c r="Y26" s="119"/>
      <c r="Z26" s="114"/>
      <c r="AA26" s="115" t="str">
        <f t="shared" si="6"/>
        <v/>
      </c>
      <c r="AB26" s="115">
        <f t="shared" si="7"/>
        <v>0</v>
      </c>
      <c r="AC26" s="115">
        <f t="shared" si="8"/>
        <v>0</v>
      </c>
      <c r="AD26" s="115">
        <f t="shared" si="9"/>
        <v>0</v>
      </c>
    </row>
    <row r="27">
      <c r="A27" s="101"/>
      <c r="B27" s="121"/>
      <c r="C27" s="122"/>
      <c r="D27" s="103" t="str">
        <f t="shared" si="1"/>
        <v/>
      </c>
      <c r="E27" s="103" t="str">
        <f t="shared" si="2"/>
        <v/>
      </c>
      <c r="F27" s="103" t="str">
        <f t="shared" si="3"/>
        <v/>
      </c>
      <c r="G27" s="122"/>
      <c r="H27" s="103">
        <f t="shared" si="4"/>
        <v>0</v>
      </c>
      <c r="I27" s="108">
        <f t="shared" si="5"/>
        <v>0</v>
      </c>
      <c r="J27" s="109"/>
      <c r="K27" s="116"/>
      <c r="L27" s="150"/>
      <c r="X27" s="151"/>
      <c r="Y27" s="119"/>
      <c r="Z27" s="114"/>
      <c r="AA27" s="115" t="str">
        <f t="shared" si="6"/>
        <v/>
      </c>
      <c r="AB27" s="115">
        <f t="shared" si="7"/>
        <v>0</v>
      </c>
      <c r="AC27" s="115">
        <f t="shared" si="8"/>
        <v>0</v>
      </c>
      <c r="AD27" s="115">
        <f t="shared" si="9"/>
        <v>0</v>
      </c>
    </row>
    <row r="28">
      <c r="A28" s="101"/>
      <c r="B28" s="121"/>
      <c r="C28" s="122"/>
      <c r="D28" s="103" t="str">
        <f t="shared" si="1"/>
        <v/>
      </c>
      <c r="E28" s="103" t="str">
        <f t="shared" si="2"/>
        <v/>
      </c>
      <c r="F28" s="103" t="str">
        <f t="shared" si="3"/>
        <v/>
      </c>
      <c r="G28" s="122"/>
      <c r="H28" s="103">
        <f t="shared" si="4"/>
        <v>0</v>
      </c>
      <c r="I28" s="108">
        <f t="shared" si="5"/>
        <v>0</v>
      </c>
      <c r="J28" s="109"/>
      <c r="K28" s="152"/>
      <c r="L28" s="153"/>
      <c r="M28" s="154"/>
      <c r="N28" s="154"/>
      <c r="O28" s="154"/>
      <c r="P28" s="154"/>
      <c r="Q28" s="154"/>
      <c r="R28" s="154"/>
      <c r="S28" s="154"/>
      <c r="T28" s="154"/>
      <c r="U28" s="154"/>
      <c r="V28" s="154"/>
      <c r="W28" s="154"/>
      <c r="X28" s="155"/>
      <c r="Y28" s="156"/>
      <c r="Z28" s="114"/>
      <c r="AA28" s="115" t="str">
        <f t="shared" si="6"/>
        <v/>
      </c>
      <c r="AB28" s="115">
        <f t="shared" si="7"/>
        <v>0</v>
      </c>
      <c r="AC28" s="115">
        <f t="shared" si="8"/>
        <v>0</v>
      </c>
      <c r="AD28" s="115">
        <f t="shared" si="9"/>
        <v>0</v>
      </c>
    </row>
    <row r="29">
      <c r="A29" s="101"/>
      <c r="B29" s="121"/>
      <c r="C29" s="122"/>
      <c r="D29" s="103" t="str">
        <f t="shared" si="1"/>
        <v/>
      </c>
      <c r="E29" s="103" t="str">
        <f t="shared" si="2"/>
        <v/>
      </c>
      <c r="F29" s="103" t="str">
        <f t="shared" si="3"/>
        <v/>
      </c>
      <c r="G29" s="122"/>
      <c r="H29" s="103">
        <f t="shared" si="4"/>
        <v>0</v>
      </c>
      <c r="I29" s="108">
        <f t="shared" si="5"/>
        <v>0</v>
      </c>
      <c r="J29" s="114"/>
      <c r="K29" s="157"/>
      <c r="L29" s="158"/>
      <c r="M29" s="158"/>
      <c r="N29" s="158"/>
      <c r="O29" s="158"/>
      <c r="P29" s="158"/>
      <c r="Q29" s="158"/>
      <c r="R29" s="158"/>
      <c r="S29" s="158"/>
      <c r="T29" s="158"/>
      <c r="U29" s="158"/>
      <c r="V29" s="158"/>
      <c r="W29" s="158"/>
      <c r="X29" s="158"/>
      <c r="Y29" s="157"/>
      <c r="Z29" s="83"/>
      <c r="AA29" s="115" t="str">
        <f t="shared" si="6"/>
        <v/>
      </c>
      <c r="AB29" s="115">
        <f t="shared" si="7"/>
        <v>0</v>
      </c>
      <c r="AC29" s="115">
        <f t="shared" si="8"/>
        <v>0</v>
      </c>
      <c r="AD29" s="115">
        <f t="shared" si="9"/>
        <v>0</v>
      </c>
    </row>
    <row r="30">
      <c r="A30" s="101"/>
      <c r="B30" s="121"/>
      <c r="C30" s="122"/>
      <c r="D30" s="103" t="str">
        <f t="shared" si="1"/>
        <v/>
      </c>
      <c r="E30" s="103" t="str">
        <f t="shared" si="2"/>
        <v/>
      </c>
      <c r="F30" s="103" t="str">
        <f t="shared" si="3"/>
        <v/>
      </c>
      <c r="G30" s="122"/>
      <c r="H30" s="103">
        <f t="shared" si="4"/>
        <v>0</v>
      </c>
      <c r="I30" s="108">
        <f t="shared" si="5"/>
        <v>0</v>
      </c>
      <c r="J30" s="114"/>
      <c r="K30" s="83"/>
      <c r="L30" s="86"/>
      <c r="M30" s="86"/>
      <c r="N30" s="86"/>
      <c r="O30" s="86"/>
      <c r="P30" s="86"/>
      <c r="Q30" s="86"/>
      <c r="R30" s="86"/>
      <c r="S30" s="86"/>
      <c r="T30" s="86"/>
      <c r="U30" s="86"/>
      <c r="V30" s="86"/>
      <c r="W30" s="86"/>
      <c r="X30" s="86"/>
      <c r="Y30" s="83"/>
      <c r="Z30" s="83"/>
      <c r="AA30" s="115" t="str">
        <f t="shared" si="6"/>
        <v/>
      </c>
      <c r="AB30" s="115">
        <f t="shared" si="7"/>
        <v>0</v>
      </c>
      <c r="AC30" s="115">
        <f t="shared" si="8"/>
        <v>0</v>
      </c>
      <c r="AD30" s="115">
        <f t="shared" si="9"/>
        <v>0</v>
      </c>
    </row>
    <row r="31">
      <c r="A31" s="101"/>
      <c r="B31" s="121"/>
      <c r="C31" s="122"/>
      <c r="D31" s="103" t="str">
        <f t="shared" si="1"/>
        <v/>
      </c>
      <c r="E31" s="103" t="str">
        <f t="shared" si="2"/>
        <v/>
      </c>
      <c r="F31" s="103" t="str">
        <f t="shared" si="3"/>
        <v/>
      </c>
      <c r="G31" s="122"/>
      <c r="H31" s="103">
        <f t="shared" si="4"/>
        <v>0</v>
      </c>
      <c r="I31" s="108">
        <f t="shared" si="5"/>
        <v>0</v>
      </c>
      <c r="J31" s="114"/>
      <c r="K31" s="83"/>
      <c r="L31" s="86"/>
      <c r="M31" s="86"/>
      <c r="N31" s="86"/>
      <c r="O31" s="86"/>
      <c r="P31" s="86"/>
      <c r="Q31" s="86"/>
      <c r="R31" s="86"/>
      <c r="S31" s="86"/>
      <c r="T31" s="86"/>
      <c r="U31" s="86"/>
      <c r="V31" s="86"/>
      <c r="W31" s="86"/>
      <c r="X31" s="86"/>
      <c r="Y31" s="83"/>
      <c r="Z31" s="83"/>
      <c r="AA31" s="115" t="str">
        <f t="shared" si="6"/>
        <v/>
      </c>
      <c r="AB31" s="115">
        <f t="shared" si="7"/>
        <v>0</v>
      </c>
      <c r="AC31" s="115">
        <f t="shared" si="8"/>
        <v>0</v>
      </c>
      <c r="AD31" s="115">
        <f t="shared" si="9"/>
        <v>0</v>
      </c>
    </row>
    <row r="32">
      <c r="A32" s="101"/>
      <c r="B32" s="121"/>
      <c r="C32" s="122"/>
      <c r="D32" s="103" t="str">
        <f t="shared" si="1"/>
        <v/>
      </c>
      <c r="E32" s="103" t="str">
        <f t="shared" si="2"/>
        <v/>
      </c>
      <c r="F32" s="103" t="str">
        <f t="shared" si="3"/>
        <v/>
      </c>
      <c r="G32" s="122"/>
      <c r="H32" s="103">
        <f t="shared" si="4"/>
        <v>0</v>
      </c>
      <c r="I32" s="108">
        <f t="shared" si="5"/>
        <v>0</v>
      </c>
      <c r="J32" s="114"/>
      <c r="K32" s="159"/>
      <c r="L32" s="83"/>
      <c r="M32" s="83"/>
      <c r="N32" s="83"/>
      <c r="O32" s="83"/>
      <c r="P32" s="83"/>
      <c r="Q32" s="83"/>
      <c r="R32" s="83"/>
      <c r="S32" s="83"/>
      <c r="T32" s="83"/>
      <c r="U32" s="83"/>
      <c r="V32" s="83"/>
      <c r="W32" s="83"/>
      <c r="X32" s="83"/>
      <c r="Y32" s="83"/>
      <c r="Z32" s="83"/>
      <c r="AA32" s="115" t="str">
        <f t="shared" si="6"/>
        <v/>
      </c>
      <c r="AB32" s="115">
        <f t="shared" si="7"/>
        <v>0</v>
      </c>
      <c r="AC32" s="115">
        <f t="shared" si="8"/>
        <v>0</v>
      </c>
      <c r="AD32" s="115">
        <f t="shared" si="9"/>
        <v>0</v>
      </c>
    </row>
    <row r="33">
      <c r="A33" s="101"/>
      <c r="B33" s="121"/>
      <c r="C33" s="122"/>
      <c r="D33" s="103" t="str">
        <f t="shared" si="1"/>
        <v/>
      </c>
      <c r="E33" s="103" t="str">
        <f t="shared" si="2"/>
        <v/>
      </c>
      <c r="F33" s="103" t="str">
        <f t="shared" si="3"/>
        <v/>
      </c>
      <c r="G33" s="122"/>
      <c r="H33" s="103">
        <f t="shared" si="4"/>
        <v>0</v>
      </c>
      <c r="I33" s="108">
        <f t="shared" si="5"/>
        <v>0</v>
      </c>
      <c r="J33" s="114"/>
      <c r="K33" s="159"/>
      <c r="L33" s="83"/>
      <c r="M33" s="83"/>
      <c r="N33" s="83"/>
      <c r="O33" s="83"/>
      <c r="P33" s="83"/>
      <c r="Q33" s="83"/>
      <c r="R33" s="83"/>
      <c r="S33" s="83"/>
      <c r="T33" s="83"/>
      <c r="U33" s="83"/>
      <c r="V33" s="83"/>
      <c r="W33" s="83"/>
      <c r="X33" s="83"/>
      <c r="Y33" s="83"/>
      <c r="Z33" s="83"/>
      <c r="AA33" s="115" t="str">
        <f t="shared" si="6"/>
        <v/>
      </c>
      <c r="AB33" s="115">
        <f t="shared" si="7"/>
        <v>0</v>
      </c>
      <c r="AC33" s="115">
        <f t="shared" si="8"/>
        <v>0</v>
      </c>
      <c r="AD33" s="115">
        <f t="shared" si="9"/>
        <v>0</v>
      </c>
    </row>
    <row r="34">
      <c r="A34" s="101"/>
      <c r="B34" s="121"/>
      <c r="C34" s="122"/>
      <c r="D34" s="103" t="str">
        <f t="shared" si="1"/>
        <v/>
      </c>
      <c r="E34" s="103" t="str">
        <f t="shared" si="2"/>
        <v/>
      </c>
      <c r="F34" s="103" t="str">
        <f t="shared" si="3"/>
        <v/>
      </c>
      <c r="G34" s="122"/>
      <c r="H34" s="103">
        <f t="shared" si="4"/>
        <v>0</v>
      </c>
      <c r="I34" s="108">
        <f t="shared" si="5"/>
        <v>0</v>
      </c>
      <c r="J34" s="114"/>
      <c r="K34" s="159"/>
      <c r="L34" s="83"/>
      <c r="M34" s="83"/>
      <c r="N34" s="83"/>
      <c r="O34" s="83"/>
      <c r="P34" s="83"/>
      <c r="Q34" s="83"/>
      <c r="R34" s="83"/>
      <c r="S34" s="83"/>
      <c r="T34" s="83"/>
      <c r="U34" s="83"/>
      <c r="V34" s="83"/>
      <c r="W34" s="83"/>
      <c r="X34" s="83"/>
      <c r="Y34" s="83"/>
      <c r="Z34" s="83"/>
      <c r="AA34" s="115" t="str">
        <f t="shared" si="6"/>
        <v/>
      </c>
      <c r="AB34" s="115">
        <f t="shared" si="7"/>
        <v>0</v>
      </c>
      <c r="AC34" s="115">
        <f t="shared" si="8"/>
        <v>0</v>
      </c>
      <c r="AD34" s="115">
        <f t="shared" si="9"/>
        <v>0</v>
      </c>
    </row>
    <row r="35">
      <c r="A35" s="101"/>
      <c r="B35" s="121"/>
      <c r="C35" s="122"/>
      <c r="D35" s="103" t="str">
        <f t="shared" si="1"/>
        <v/>
      </c>
      <c r="E35" s="103" t="str">
        <f t="shared" si="2"/>
        <v/>
      </c>
      <c r="F35" s="103" t="str">
        <f t="shared" si="3"/>
        <v/>
      </c>
      <c r="G35" s="122"/>
      <c r="H35" s="103">
        <f t="shared" si="4"/>
        <v>0</v>
      </c>
      <c r="I35" s="108">
        <f t="shared" si="5"/>
        <v>0</v>
      </c>
      <c r="J35" s="114"/>
      <c r="K35" s="83"/>
      <c r="L35" s="83"/>
      <c r="M35" s="83"/>
      <c r="N35" s="83"/>
      <c r="O35" s="83"/>
      <c r="P35" s="83"/>
      <c r="Q35" s="83"/>
      <c r="R35" s="83"/>
      <c r="S35" s="83"/>
      <c r="T35" s="83"/>
      <c r="U35" s="83"/>
      <c r="V35" s="83"/>
      <c r="W35" s="83"/>
      <c r="X35" s="83"/>
      <c r="Y35" s="83"/>
      <c r="Z35" s="114"/>
      <c r="AA35" s="115" t="str">
        <f t="shared" si="6"/>
        <v/>
      </c>
      <c r="AB35" s="115">
        <f t="shared" si="7"/>
        <v>0</v>
      </c>
      <c r="AC35" s="115">
        <f t="shared" si="8"/>
        <v>0</v>
      </c>
      <c r="AD35" s="115">
        <f t="shared" si="9"/>
        <v>0</v>
      </c>
    </row>
    <row r="36">
      <c r="A36" s="101"/>
      <c r="B36" s="121"/>
      <c r="C36" s="122"/>
      <c r="D36" s="103" t="str">
        <f t="shared" si="1"/>
        <v/>
      </c>
      <c r="E36" s="103" t="str">
        <f t="shared" si="2"/>
        <v/>
      </c>
      <c r="F36" s="103" t="str">
        <f t="shared" si="3"/>
        <v/>
      </c>
      <c r="G36" s="122"/>
      <c r="H36" s="103">
        <f t="shared" si="4"/>
        <v>0</v>
      </c>
      <c r="I36" s="108">
        <f t="shared" si="5"/>
        <v>0</v>
      </c>
      <c r="J36" s="114"/>
      <c r="K36" s="83"/>
      <c r="L36" s="83"/>
      <c r="M36" s="83"/>
      <c r="N36" s="83"/>
      <c r="O36" s="83"/>
      <c r="P36" s="83"/>
      <c r="Q36" s="83"/>
      <c r="R36" s="83"/>
      <c r="S36" s="83"/>
      <c r="T36" s="83"/>
      <c r="U36" s="83"/>
      <c r="V36" s="83"/>
      <c r="W36" s="83"/>
      <c r="X36" s="83"/>
      <c r="Y36" s="83"/>
      <c r="Z36" s="114"/>
      <c r="AA36" s="115" t="str">
        <f t="shared" si="6"/>
        <v/>
      </c>
      <c r="AB36" s="115">
        <f t="shared" si="7"/>
        <v>0</v>
      </c>
      <c r="AC36" s="115">
        <f t="shared" si="8"/>
        <v>0</v>
      </c>
      <c r="AD36" s="115">
        <f t="shared" si="9"/>
        <v>0</v>
      </c>
    </row>
    <row r="37">
      <c r="A37" s="101"/>
      <c r="B37" s="121"/>
      <c r="C37" s="122"/>
      <c r="D37" s="103" t="str">
        <f t="shared" si="1"/>
        <v/>
      </c>
      <c r="E37" s="103" t="str">
        <f t="shared" si="2"/>
        <v/>
      </c>
      <c r="F37" s="103" t="str">
        <f t="shared" si="3"/>
        <v/>
      </c>
      <c r="G37" s="122"/>
      <c r="H37" s="103">
        <f t="shared" si="4"/>
        <v>0</v>
      </c>
      <c r="I37" s="108">
        <f t="shared" si="5"/>
        <v>0</v>
      </c>
      <c r="J37" s="114"/>
      <c r="K37" s="83"/>
      <c r="L37" s="83"/>
      <c r="M37" s="83"/>
      <c r="N37" s="83"/>
      <c r="O37" s="83"/>
      <c r="P37" s="83"/>
      <c r="Q37" s="83"/>
      <c r="R37" s="83"/>
      <c r="S37" s="83"/>
      <c r="T37" s="83"/>
      <c r="U37" s="83"/>
      <c r="V37" s="83"/>
      <c r="W37" s="83"/>
      <c r="X37" s="83"/>
      <c r="Y37" s="83"/>
      <c r="Z37" s="114"/>
      <c r="AA37" s="115" t="str">
        <f t="shared" si="6"/>
        <v/>
      </c>
      <c r="AB37" s="115">
        <f t="shared" si="7"/>
        <v>0</v>
      </c>
      <c r="AC37" s="115">
        <f t="shared" si="8"/>
        <v>0</v>
      </c>
      <c r="AD37" s="115">
        <f t="shared" si="9"/>
        <v>0</v>
      </c>
    </row>
    <row r="38">
      <c r="A38" s="101"/>
      <c r="B38" s="121"/>
      <c r="C38" s="122"/>
      <c r="D38" s="103" t="str">
        <f t="shared" si="1"/>
        <v/>
      </c>
      <c r="E38" s="103" t="str">
        <f t="shared" si="2"/>
        <v/>
      </c>
      <c r="F38" s="103" t="str">
        <f t="shared" si="3"/>
        <v/>
      </c>
      <c r="G38" s="122"/>
      <c r="H38" s="103">
        <f t="shared" si="4"/>
        <v>0</v>
      </c>
      <c r="I38" s="108">
        <f t="shared" si="5"/>
        <v>0</v>
      </c>
      <c r="J38" s="114"/>
      <c r="K38" s="83"/>
      <c r="L38" s="83"/>
      <c r="M38" s="83"/>
      <c r="N38" s="83"/>
      <c r="O38" s="83"/>
      <c r="P38" s="83"/>
      <c r="Q38" s="83"/>
      <c r="R38" s="83"/>
      <c r="S38" s="83"/>
      <c r="T38" s="83"/>
      <c r="U38" s="83"/>
      <c r="V38" s="83"/>
      <c r="W38" s="83"/>
      <c r="X38" s="83"/>
      <c r="Y38" s="83"/>
      <c r="Z38" s="114"/>
      <c r="AA38" s="115" t="str">
        <f t="shared" si="6"/>
        <v/>
      </c>
      <c r="AB38" s="115">
        <f t="shared" si="7"/>
        <v>0</v>
      </c>
      <c r="AC38" s="115">
        <f t="shared" si="8"/>
        <v>0</v>
      </c>
      <c r="AD38" s="115">
        <f t="shared" si="9"/>
        <v>0</v>
      </c>
    </row>
    <row r="39">
      <c r="A39" s="101"/>
      <c r="B39" s="121"/>
      <c r="C39" s="122"/>
      <c r="D39" s="103" t="str">
        <f t="shared" si="1"/>
        <v/>
      </c>
      <c r="E39" s="103" t="str">
        <f t="shared" si="2"/>
        <v/>
      </c>
      <c r="F39" s="103" t="str">
        <f t="shared" si="3"/>
        <v/>
      </c>
      <c r="G39" s="122"/>
      <c r="H39" s="103">
        <f t="shared" si="4"/>
        <v>0</v>
      </c>
      <c r="I39" s="108">
        <f t="shared" si="5"/>
        <v>0</v>
      </c>
      <c r="J39" s="114"/>
      <c r="K39" s="83"/>
      <c r="L39" s="83"/>
      <c r="M39" s="83"/>
      <c r="N39" s="83"/>
      <c r="O39" s="83"/>
      <c r="P39" s="83"/>
      <c r="Q39" s="83"/>
      <c r="R39" s="83"/>
      <c r="S39" s="83"/>
      <c r="T39" s="83"/>
      <c r="U39" s="83"/>
      <c r="V39" s="83"/>
      <c r="W39" s="83"/>
      <c r="X39" s="83"/>
      <c r="Y39" s="83"/>
      <c r="Z39" s="114"/>
      <c r="AA39" s="115" t="str">
        <f t="shared" si="6"/>
        <v/>
      </c>
      <c r="AB39" s="115">
        <f t="shared" si="7"/>
        <v>0</v>
      </c>
      <c r="AC39" s="115">
        <f t="shared" si="8"/>
        <v>0</v>
      </c>
      <c r="AD39" s="115">
        <f t="shared" si="9"/>
        <v>0</v>
      </c>
    </row>
    <row r="40">
      <c r="A40" s="101"/>
      <c r="B40" s="121"/>
      <c r="C40" s="122"/>
      <c r="D40" s="103" t="str">
        <f t="shared" si="1"/>
        <v/>
      </c>
      <c r="E40" s="103" t="str">
        <f t="shared" si="2"/>
        <v/>
      </c>
      <c r="F40" s="103" t="str">
        <f t="shared" si="3"/>
        <v/>
      </c>
      <c r="G40" s="122"/>
      <c r="H40" s="103">
        <f t="shared" si="4"/>
        <v>0</v>
      </c>
      <c r="I40" s="108">
        <f t="shared" si="5"/>
        <v>0</v>
      </c>
      <c r="J40" s="114"/>
      <c r="K40" s="83"/>
      <c r="L40" s="83"/>
      <c r="M40" s="83"/>
      <c r="N40" s="83"/>
      <c r="O40" s="83"/>
      <c r="P40" s="83"/>
      <c r="Q40" s="83"/>
      <c r="R40" s="83"/>
      <c r="S40" s="83"/>
      <c r="T40" s="83"/>
      <c r="U40" s="83"/>
      <c r="V40" s="83"/>
      <c r="W40" s="83"/>
      <c r="X40" s="83"/>
      <c r="Y40" s="83"/>
      <c r="Z40" s="114"/>
      <c r="AA40" s="115" t="str">
        <f t="shared" si="6"/>
        <v/>
      </c>
      <c r="AB40" s="115">
        <f t="shared" si="7"/>
        <v>0</v>
      </c>
      <c r="AC40" s="115">
        <f t="shared" si="8"/>
        <v>0</v>
      </c>
      <c r="AD40" s="115">
        <f t="shared" si="9"/>
        <v>0</v>
      </c>
    </row>
    <row r="41">
      <c r="A41" s="101"/>
      <c r="B41" s="121"/>
      <c r="C41" s="122"/>
      <c r="D41" s="103" t="str">
        <f t="shared" si="1"/>
        <v/>
      </c>
      <c r="E41" s="103" t="str">
        <f t="shared" si="2"/>
        <v/>
      </c>
      <c r="F41" s="103" t="str">
        <f t="shared" si="3"/>
        <v/>
      </c>
      <c r="G41" s="122"/>
      <c r="H41" s="103">
        <f t="shared" si="4"/>
        <v>0</v>
      </c>
      <c r="I41" s="108">
        <f t="shared" si="5"/>
        <v>0</v>
      </c>
      <c r="J41" s="114"/>
      <c r="K41" s="83"/>
      <c r="L41" s="83"/>
      <c r="M41" s="83"/>
      <c r="N41" s="83"/>
      <c r="O41" s="83"/>
      <c r="P41" s="83"/>
      <c r="Q41" s="83"/>
      <c r="R41" s="83"/>
      <c r="S41" s="83"/>
      <c r="T41" s="83"/>
      <c r="U41" s="83"/>
      <c r="V41" s="83"/>
      <c r="W41" s="83"/>
      <c r="X41" s="83"/>
      <c r="Y41" s="83"/>
      <c r="Z41" s="114"/>
      <c r="AA41" s="115" t="str">
        <f t="shared" si="6"/>
        <v/>
      </c>
      <c r="AB41" s="115">
        <f t="shared" si="7"/>
        <v>0</v>
      </c>
      <c r="AC41" s="115">
        <f t="shared" si="8"/>
        <v>0</v>
      </c>
      <c r="AD41" s="115">
        <f t="shared" si="9"/>
        <v>0</v>
      </c>
    </row>
    <row r="42">
      <c r="A42" s="101"/>
      <c r="B42" s="121"/>
      <c r="C42" s="122"/>
      <c r="D42" s="103" t="str">
        <f t="shared" si="1"/>
        <v/>
      </c>
      <c r="E42" s="103" t="str">
        <f t="shared" si="2"/>
        <v/>
      </c>
      <c r="F42" s="103" t="str">
        <f t="shared" si="3"/>
        <v/>
      </c>
      <c r="G42" s="122"/>
      <c r="H42" s="103">
        <f t="shared" si="4"/>
        <v>0</v>
      </c>
      <c r="I42" s="108">
        <f t="shared" si="5"/>
        <v>0</v>
      </c>
      <c r="J42" s="114"/>
      <c r="K42" s="83"/>
      <c r="L42" s="83"/>
      <c r="M42" s="83"/>
      <c r="N42" s="83"/>
      <c r="O42" s="83"/>
      <c r="P42" s="83"/>
      <c r="Q42" s="83"/>
      <c r="R42" s="83"/>
      <c r="S42" s="83"/>
      <c r="T42" s="83"/>
      <c r="U42" s="83"/>
      <c r="V42" s="83"/>
      <c r="W42" s="83"/>
      <c r="X42" s="83"/>
      <c r="Y42" s="83"/>
      <c r="Z42" s="114"/>
      <c r="AA42" s="115" t="str">
        <f t="shared" si="6"/>
        <v/>
      </c>
      <c r="AB42" s="115">
        <f t="shared" si="7"/>
        <v>0</v>
      </c>
      <c r="AC42" s="115">
        <f t="shared" si="8"/>
        <v>0</v>
      </c>
      <c r="AD42" s="115">
        <f t="shared" si="9"/>
        <v>0</v>
      </c>
    </row>
    <row r="43">
      <c r="A43" s="101"/>
      <c r="B43" s="121"/>
      <c r="C43" s="122"/>
      <c r="D43" s="103" t="str">
        <f t="shared" si="1"/>
        <v/>
      </c>
      <c r="E43" s="103" t="str">
        <f t="shared" si="2"/>
        <v/>
      </c>
      <c r="F43" s="103" t="str">
        <f t="shared" si="3"/>
        <v/>
      </c>
      <c r="G43" s="122"/>
      <c r="H43" s="103">
        <f t="shared" si="4"/>
        <v>0</v>
      </c>
      <c r="I43" s="108">
        <f t="shared" si="5"/>
        <v>0</v>
      </c>
      <c r="J43" s="114"/>
      <c r="K43" s="83"/>
      <c r="L43" s="83"/>
      <c r="M43" s="83"/>
      <c r="N43" s="83"/>
      <c r="O43" s="83"/>
      <c r="P43" s="83"/>
      <c r="Q43" s="83"/>
      <c r="R43" s="83"/>
      <c r="S43" s="83"/>
      <c r="T43" s="83"/>
      <c r="U43" s="83"/>
      <c r="V43" s="83"/>
      <c r="W43" s="83"/>
      <c r="X43" s="83"/>
      <c r="Y43" s="83"/>
      <c r="Z43" s="114"/>
      <c r="AA43" s="115" t="str">
        <f t="shared" si="6"/>
        <v/>
      </c>
      <c r="AB43" s="115">
        <f t="shared" si="7"/>
        <v>0</v>
      </c>
      <c r="AC43" s="115">
        <f t="shared" si="8"/>
        <v>0</v>
      </c>
      <c r="AD43" s="115">
        <f t="shared" si="9"/>
        <v>0</v>
      </c>
    </row>
    <row r="44">
      <c r="A44" s="101"/>
      <c r="B44" s="121"/>
      <c r="C44" s="122"/>
      <c r="D44" s="103" t="str">
        <f t="shared" si="1"/>
        <v/>
      </c>
      <c r="E44" s="103" t="str">
        <f t="shared" si="2"/>
        <v/>
      </c>
      <c r="F44" s="103" t="str">
        <f t="shared" si="3"/>
        <v/>
      </c>
      <c r="G44" s="122"/>
      <c r="H44" s="103">
        <f t="shared" si="4"/>
        <v>0</v>
      </c>
      <c r="I44" s="108">
        <f t="shared" si="5"/>
        <v>0</v>
      </c>
      <c r="J44" s="114"/>
      <c r="K44" s="83"/>
      <c r="L44" s="83"/>
      <c r="M44" s="83"/>
      <c r="N44" s="83"/>
      <c r="O44" s="83"/>
      <c r="P44" s="83"/>
      <c r="Q44" s="83"/>
      <c r="R44" s="83"/>
      <c r="S44" s="83"/>
      <c r="T44" s="83"/>
      <c r="U44" s="83"/>
      <c r="V44" s="83"/>
      <c r="W44" s="83"/>
      <c r="X44" s="83"/>
      <c r="Y44" s="83"/>
      <c r="Z44" s="114"/>
      <c r="AA44" s="115" t="str">
        <f t="shared" si="6"/>
        <v/>
      </c>
      <c r="AB44" s="115">
        <f t="shared" si="7"/>
        <v>0</v>
      </c>
      <c r="AC44" s="115">
        <f t="shared" si="8"/>
        <v>0</v>
      </c>
      <c r="AD44" s="115">
        <f t="shared" si="9"/>
        <v>0</v>
      </c>
    </row>
    <row r="45">
      <c r="A45" s="101"/>
      <c r="B45" s="121"/>
      <c r="C45" s="122"/>
      <c r="D45" s="103" t="str">
        <f t="shared" si="1"/>
        <v/>
      </c>
      <c r="E45" s="103" t="str">
        <f t="shared" si="2"/>
        <v/>
      </c>
      <c r="F45" s="103" t="str">
        <f t="shared" si="3"/>
        <v/>
      </c>
      <c r="G45" s="122"/>
      <c r="H45" s="103">
        <f t="shared" si="4"/>
        <v>0</v>
      </c>
      <c r="I45" s="108">
        <f t="shared" si="5"/>
        <v>0</v>
      </c>
      <c r="J45" s="114"/>
      <c r="K45" s="83"/>
      <c r="L45" s="83"/>
      <c r="M45" s="83"/>
      <c r="N45" s="83"/>
      <c r="O45" s="83"/>
      <c r="P45" s="83"/>
      <c r="Q45" s="83"/>
      <c r="R45" s="83"/>
      <c r="S45" s="83"/>
      <c r="T45" s="83"/>
      <c r="U45" s="83"/>
      <c r="V45" s="83"/>
      <c r="W45" s="83"/>
      <c r="X45" s="83"/>
      <c r="Y45" s="83"/>
      <c r="Z45" s="114"/>
      <c r="AA45" s="115" t="str">
        <f t="shared" si="6"/>
        <v/>
      </c>
      <c r="AB45" s="115">
        <f t="shared" si="7"/>
        <v>0</v>
      </c>
      <c r="AC45" s="115">
        <f t="shared" si="8"/>
        <v>0</v>
      </c>
      <c r="AD45" s="115">
        <f t="shared" si="9"/>
        <v>0</v>
      </c>
    </row>
    <row r="46">
      <c r="A46" s="101"/>
      <c r="B46" s="121"/>
      <c r="C46" s="122"/>
      <c r="D46" s="103" t="str">
        <f t="shared" si="1"/>
        <v/>
      </c>
      <c r="E46" s="103" t="str">
        <f t="shared" si="2"/>
        <v/>
      </c>
      <c r="F46" s="103" t="str">
        <f t="shared" si="3"/>
        <v/>
      </c>
      <c r="G46" s="122"/>
      <c r="H46" s="103">
        <f t="shared" si="4"/>
        <v>0</v>
      </c>
      <c r="I46" s="108">
        <f t="shared" si="5"/>
        <v>0</v>
      </c>
      <c r="J46" s="114"/>
      <c r="K46" s="83"/>
      <c r="L46" s="83"/>
      <c r="M46" s="83"/>
      <c r="N46" s="83"/>
      <c r="O46" s="83"/>
      <c r="P46" s="83"/>
      <c r="Q46" s="83"/>
      <c r="R46" s="83"/>
      <c r="S46" s="83"/>
      <c r="T46" s="83"/>
      <c r="U46" s="83"/>
      <c r="V46" s="83"/>
      <c r="W46" s="83"/>
      <c r="X46" s="83"/>
      <c r="Y46" s="83"/>
      <c r="Z46" s="114"/>
      <c r="AA46" s="115" t="str">
        <f t="shared" si="6"/>
        <v/>
      </c>
      <c r="AB46" s="115">
        <f t="shared" si="7"/>
        <v>0</v>
      </c>
      <c r="AC46" s="115">
        <f t="shared" si="8"/>
        <v>0</v>
      </c>
      <c r="AD46" s="115">
        <f t="shared" si="9"/>
        <v>0</v>
      </c>
    </row>
    <row r="47">
      <c r="A47" s="101"/>
      <c r="B47" s="121"/>
      <c r="C47" s="122"/>
      <c r="D47" s="103" t="str">
        <f t="shared" si="1"/>
        <v/>
      </c>
      <c r="E47" s="103" t="str">
        <f t="shared" si="2"/>
        <v/>
      </c>
      <c r="F47" s="103" t="str">
        <f t="shared" si="3"/>
        <v/>
      </c>
      <c r="G47" s="122"/>
      <c r="H47" s="103">
        <f t="shared" si="4"/>
        <v>0</v>
      </c>
      <c r="I47" s="108">
        <f t="shared" si="5"/>
        <v>0</v>
      </c>
      <c r="J47" s="114"/>
      <c r="K47" s="83"/>
      <c r="L47" s="83"/>
      <c r="M47" s="83"/>
      <c r="N47" s="83"/>
      <c r="O47" s="83"/>
      <c r="P47" s="83"/>
      <c r="Q47" s="83"/>
      <c r="R47" s="83"/>
      <c r="S47" s="83"/>
      <c r="T47" s="83"/>
      <c r="U47" s="83"/>
      <c r="V47" s="83"/>
      <c r="W47" s="83"/>
      <c r="X47" s="83"/>
      <c r="Y47" s="83"/>
      <c r="Z47" s="114"/>
      <c r="AA47" s="115" t="str">
        <f t="shared" si="6"/>
        <v/>
      </c>
      <c r="AB47" s="115">
        <f t="shared" si="7"/>
        <v>0</v>
      </c>
      <c r="AC47" s="115">
        <f t="shared" si="8"/>
        <v>0</v>
      </c>
      <c r="AD47" s="115">
        <f t="shared" si="9"/>
        <v>0</v>
      </c>
    </row>
    <row r="48">
      <c r="A48" s="101"/>
      <c r="B48" s="121"/>
      <c r="C48" s="122"/>
      <c r="D48" s="103" t="str">
        <f t="shared" si="1"/>
        <v/>
      </c>
      <c r="E48" s="103" t="str">
        <f t="shared" si="2"/>
        <v/>
      </c>
      <c r="F48" s="103" t="str">
        <f t="shared" si="3"/>
        <v/>
      </c>
      <c r="G48" s="122"/>
      <c r="H48" s="103">
        <f t="shared" si="4"/>
        <v>0</v>
      </c>
      <c r="I48" s="108">
        <f t="shared" si="5"/>
        <v>0</v>
      </c>
      <c r="J48" s="114"/>
      <c r="K48" s="83"/>
      <c r="L48" s="83"/>
      <c r="M48" s="83"/>
      <c r="N48" s="83"/>
      <c r="O48" s="83"/>
      <c r="P48" s="83"/>
      <c r="Q48" s="83"/>
      <c r="R48" s="83"/>
      <c r="S48" s="83"/>
      <c r="T48" s="83"/>
      <c r="U48" s="83"/>
      <c r="V48" s="83"/>
      <c r="W48" s="83"/>
      <c r="X48" s="83"/>
      <c r="Y48" s="83"/>
      <c r="Z48" s="114"/>
      <c r="AA48" s="115" t="str">
        <f t="shared" si="6"/>
        <v/>
      </c>
      <c r="AB48" s="115">
        <f t="shared" si="7"/>
        <v>0</v>
      </c>
      <c r="AC48" s="115">
        <f t="shared" si="8"/>
        <v>0</v>
      </c>
      <c r="AD48" s="115">
        <f t="shared" si="9"/>
        <v>0</v>
      </c>
    </row>
    <row r="49">
      <c r="A49" s="101"/>
      <c r="B49" s="121"/>
      <c r="C49" s="122"/>
      <c r="D49" s="103" t="str">
        <f t="shared" si="1"/>
        <v/>
      </c>
      <c r="E49" s="103" t="str">
        <f t="shared" si="2"/>
        <v/>
      </c>
      <c r="F49" s="103" t="str">
        <f t="shared" si="3"/>
        <v/>
      </c>
      <c r="G49" s="122"/>
      <c r="H49" s="103">
        <f t="shared" si="4"/>
        <v>0</v>
      </c>
      <c r="I49" s="108">
        <f t="shared" si="5"/>
        <v>0</v>
      </c>
      <c r="J49" s="114"/>
      <c r="K49" s="83"/>
      <c r="L49" s="83"/>
      <c r="M49" s="83"/>
      <c r="N49" s="83"/>
      <c r="O49" s="83"/>
      <c r="P49" s="83"/>
      <c r="Q49" s="83"/>
      <c r="R49" s="83"/>
      <c r="S49" s="83"/>
      <c r="T49" s="83"/>
      <c r="U49" s="83"/>
      <c r="V49" s="83"/>
      <c r="W49" s="83"/>
      <c r="X49" s="83"/>
      <c r="Y49" s="83"/>
      <c r="Z49" s="114"/>
      <c r="AA49" s="115" t="str">
        <f t="shared" si="6"/>
        <v/>
      </c>
      <c r="AB49" s="115">
        <f t="shared" si="7"/>
        <v>0</v>
      </c>
      <c r="AC49" s="115">
        <f t="shared" si="8"/>
        <v>0</v>
      </c>
      <c r="AD49" s="115">
        <f t="shared" si="9"/>
        <v>0</v>
      </c>
    </row>
    <row r="50">
      <c r="A50" s="101"/>
      <c r="B50" s="121"/>
      <c r="C50" s="122"/>
      <c r="D50" s="103" t="str">
        <f t="shared" si="1"/>
        <v/>
      </c>
      <c r="E50" s="103" t="str">
        <f t="shared" si="2"/>
        <v/>
      </c>
      <c r="F50" s="103" t="str">
        <f t="shared" si="3"/>
        <v/>
      </c>
      <c r="G50" s="122"/>
      <c r="H50" s="103">
        <f t="shared" si="4"/>
        <v>0</v>
      </c>
      <c r="I50" s="108">
        <f t="shared" si="5"/>
        <v>0</v>
      </c>
      <c r="J50" s="114"/>
      <c r="K50" s="83"/>
      <c r="L50" s="83"/>
      <c r="M50" s="83"/>
      <c r="N50" s="83"/>
      <c r="O50" s="83"/>
      <c r="P50" s="83"/>
      <c r="Q50" s="83"/>
      <c r="R50" s="83"/>
      <c r="S50" s="83"/>
      <c r="T50" s="83"/>
      <c r="U50" s="83"/>
      <c r="V50" s="83"/>
      <c r="W50" s="83"/>
      <c r="X50" s="83"/>
      <c r="Y50" s="83"/>
      <c r="Z50" s="114"/>
      <c r="AA50" s="115" t="str">
        <f t="shared" si="6"/>
        <v/>
      </c>
      <c r="AB50" s="115">
        <f t="shared" si="7"/>
        <v>0</v>
      </c>
      <c r="AC50" s="115">
        <f t="shared" si="8"/>
        <v>0</v>
      </c>
      <c r="AD50" s="115">
        <f t="shared" si="9"/>
        <v>0</v>
      </c>
    </row>
    <row r="51">
      <c r="A51" s="101"/>
      <c r="B51" s="121"/>
      <c r="C51" s="122"/>
      <c r="D51" s="103" t="str">
        <f t="shared" si="1"/>
        <v/>
      </c>
      <c r="E51" s="103" t="str">
        <f t="shared" si="2"/>
        <v/>
      </c>
      <c r="F51" s="103" t="str">
        <f t="shared" si="3"/>
        <v/>
      </c>
      <c r="G51" s="122"/>
      <c r="H51" s="103">
        <f t="shared" si="4"/>
        <v>0</v>
      </c>
      <c r="I51" s="108">
        <f t="shared" si="5"/>
        <v>0</v>
      </c>
      <c r="J51" s="114"/>
      <c r="K51" s="83"/>
      <c r="L51" s="83"/>
      <c r="M51" s="83"/>
      <c r="N51" s="83"/>
      <c r="O51" s="83"/>
      <c r="P51" s="83"/>
      <c r="Q51" s="83"/>
      <c r="R51" s="83"/>
      <c r="S51" s="83"/>
      <c r="T51" s="83"/>
      <c r="U51" s="83"/>
      <c r="V51" s="83"/>
      <c r="W51" s="83"/>
      <c r="X51" s="83"/>
      <c r="Y51" s="83"/>
      <c r="Z51" s="114"/>
      <c r="AA51" s="115" t="str">
        <f t="shared" si="6"/>
        <v/>
      </c>
      <c r="AB51" s="115">
        <f t="shared" si="7"/>
        <v>0</v>
      </c>
      <c r="AC51" s="115">
        <f t="shared" si="8"/>
        <v>0</v>
      </c>
      <c r="AD51" s="115">
        <f t="shared" si="9"/>
        <v>0</v>
      </c>
    </row>
    <row r="52">
      <c r="A52" s="101"/>
      <c r="B52" s="121"/>
      <c r="C52" s="122"/>
      <c r="D52" s="103" t="str">
        <f t="shared" si="1"/>
        <v/>
      </c>
      <c r="E52" s="103" t="str">
        <f t="shared" si="2"/>
        <v/>
      </c>
      <c r="F52" s="103" t="str">
        <f t="shared" si="3"/>
        <v/>
      </c>
      <c r="G52" s="122"/>
      <c r="H52" s="103">
        <f t="shared" si="4"/>
        <v>0</v>
      </c>
      <c r="I52" s="108">
        <f t="shared" si="5"/>
        <v>0</v>
      </c>
      <c r="J52" s="114"/>
      <c r="K52" s="83"/>
      <c r="L52" s="83"/>
      <c r="M52" s="83"/>
      <c r="N52" s="83"/>
      <c r="O52" s="83"/>
      <c r="P52" s="83"/>
      <c r="Q52" s="83"/>
      <c r="R52" s="83"/>
      <c r="S52" s="83"/>
      <c r="T52" s="83"/>
      <c r="U52" s="83"/>
      <c r="V52" s="83"/>
      <c r="W52" s="83"/>
      <c r="X52" s="83"/>
      <c r="Y52" s="83"/>
      <c r="Z52" s="114"/>
      <c r="AA52" s="115" t="str">
        <f t="shared" si="6"/>
        <v/>
      </c>
      <c r="AB52" s="115">
        <f t="shared" si="7"/>
        <v>0</v>
      </c>
      <c r="AC52" s="115">
        <f t="shared" si="8"/>
        <v>0</v>
      </c>
      <c r="AD52" s="115">
        <f t="shared" si="9"/>
        <v>0</v>
      </c>
    </row>
    <row r="53">
      <c r="A53" s="101"/>
      <c r="B53" s="121"/>
      <c r="C53" s="122"/>
      <c r="D53" s="103" t="str">
        <f t="shared" si="1"/>
        <v/>
      </c>
      <c r="E53" s="103" t="str">
        <f t="shared" si="2"/>
        <v/>
      </c>
      <c r="F53" s="103" t="str">
        <f t="shared" si="3"/>
        <v/>
      </c>
      <c r="G53" s="122"/>
      <c r="H53" s="103">
        <f t="shared" si="4"/>
        <v>0</v>
      </c>
      <c r="I53" s="108">
        <f t="shared" si="5"/>
        <v>0</v>
      </c>
      <c r="J53" s="114"/>
      <c r="K53" s="83"/>
      <c r="L53" s="83"/>
      <c r="M53" s="83"/>
      <c r="N53" s="83"/>
      <c r="O53" s="83"/>
      <c r="P53" s="83"/>
      <c r="Q53" s="83"/>
      <c r="R53" s="83"/>
      <c r="S53" s="83"/>
      <c r="T53" s="83"/>
      <c r="U53" s="83"/>
      <c r="V53" s="83"/>
      <c r="W53" s="83"/>
      <c r="X53" s="83"/>
      <c r="Y53" s="83"/>
      <c r="Z53" s="114"/>
      <c r="AA53" s="115" t="str">
        <f t="shared" si="6"/>
        <v/>
      </c>
      <c r="AB53" s="115">
        <f t="shared" si="7"/>
        <v>0</v>
      </c>
      <c r="AC53" s="115">
        <f t="shared" si="8"/>
        <v>0</v>
      </c>
      <c r="AD53" s="115">
        <f t="shared" si="9"/>
        <v>0</v>
      </c>
    </row>
    <row r="54">
      <c r="A54" s="101"/>
      <c r="B54" s="121"/>
      <c r="C54" s="122"/>
      <c r="D54" s="103" t="str">
        <f t="shared" si="1"/>
        <v/>
      </c>
      <c r="E54" s="103" t="str">
        <f t="shared" si="2"/>
        <v/>
      </c>
      <c r="F54" s="103" t="str">
        <f t="shared" si="3"/>
        <v/>
      </c>
      <c r="G54" s="122"/>
      <c r="H54" s="103">
        <f t="shared" si="4"/>
        <v>0</v>
      </c>
      <c r="I54" s="108">
        <f t="shared" si="5"/>
        <v>0</v>
      </c>
      <c r="J54" s="114"/>
      <c r="K54" s="83"/>
      <c r="L54" s="83"/>
      <c r="M54" s="83"/>
      <c r="N54" s="83"/>
      <c r="O54" s="83"/>
      <c r="P54" s="83"/>
      <c r="Q54" s="83"/>
      <c r="R54" s="83"/>
      <c r="S54" s="83"/>
      <c r="T54" s="83"/>
      <c r="U54" s="83"/>
      <c r="V54" s="83"/>
      <c r="W54" s="83"/>
      <c r="X54" s="83"/>
      <c r="Y54" s="83"/>
      <c r="Z54" s="114"/>
      <c r="AA54" s="115" t="str">
        <f t="shared" si="6"/>
        <v/>
      </c>
      <c r="AB54" s="115">
        <f t="shared" si="7"/>
        <v>0</v>
      </c>
      <c r="AC54" s="115">
        <f t="shared" si="8"/>
        <v>0</v>
      </c>
      <c r="AD54" s="115">
        <f t="shared" si="9"/>
        <v>0</v>
      </c>
    </row>
    <row r="55">
      <c r="A55" s="101"/>
      <c r="B55" s="121"/>
      <c r="C55" s="122"/>
      <c r="D55" s="103" t="str">
        <f t="shared" si="1"/>
        <v/>
      </c>
      <c r="E55" s="103" t="str">
        <f t="shared" si="2"/>
        <v/>
      </c>
      <c r="F55" s="103" t="str">
        <f t="shared" si="3"/>
        <v/>
      </c>
      <c r="G55" s="122"/>
      <c r="H55" s="103">
        <f t="shared" si="4"/>
        <v>0</v>
      </c>
      <c r="I55" s="108">
        <f t="shared" si="5"/>
        <v>0</v>
      </c>
      <c r="J55" s="114"/>
      <c r="K55" s="83"/>
      <c r="L55" s="83"/>
      <c r="M55" s="83"/>
      <c r="N55" s="83"/>
      <c r="O55" s="83"/>
      <c r="P55" s="83"/>
      <c r="Q55" s="83"/>
      <c r="R55" s="83"/>
      <c r="S55" s="83"/>
      <c r="T55" s="83"/>
      <c r="U55" s="83"/>
      <c r="V55" s="83"/>
      <c r="W55" s="83"/>
      <c r="X55" s="83"/>
      <c r="Y55" s="83"/>
      <c r="Z55" s="114"/>
      <c r="AA55" s="115" t="str">
        <f t="shared" si="6"/>
        <v/>
      </c>
      <c r="AB55" s="115">
        <f t="shared" si="7"/>
        <v>0</v>
      </c>
      <c r="AC55" s="115">
        <f t="shared" si="8"/>
        <v>0</v>
      </c>
      <c r="AD55" s="115">
        <f t="shared" si="9"/>
        <v>0</v>
      </c>
    </row>
    <row r="56">
      <c r="A56" s="101"/>
      <c r="B56" s="121"/>
      <c r="C56" s="122"/>
      <c r="D56" s="103" t="str">
        <f t="shared" si="1"/>
        <v/>
      </c>
      <c r="E56" s="103" t="str">
        <f t="shared" si="2"/>
        <v/>
      </c>
      <c r="F56" s="103" t="str">
        <f t="shared" si="3"/>
        <v/>
      </c>
      <c r="G56" s="122"/>
      <c r="H56" s="103">
        <f t="shared" si="4"/>
        <v>0</v>
      </c>
      <c r="I56" s="108">
        <f t="shared" si="5"/>
        <v>0</v>
      </c>
      <c r="J56" s="114"/>
      <c r="K56" s="83"/>
      <c r="L56" s="83"/>
      <c r="M56" s="83"/>
      <c r="N56" s="83"/>
      <c r="O56" s="83"/>
      <c r="P56" s="83"/>
      <c r="Q56" s="83"/>
      <c r="R56" s="83"/>
      <c r="S56" s="83"/>
      <c r="T56" s="83"/>
      <c r="U56" s="83"/>
      <c r="V56" s="83"/>
      <c r="W56" s="83"/>
      <c r="X56" s="83"/>
      <c r="Y56" s="83"/>
      <c r="Z56" s="114"/>
      <c r="AA56" s="115" t="str">
        <f t="shared" si="6"/>
        <v/>
      </c>
      <c r="AB56" s="115">
        <f t="shared" si="7"/>
        <v>0</v>
      </c>
      <c r="AC56" s="115">
        <f t="shared" si="8"/>
        <v>0</v>
      </c>
      <c r="AD56" s="115">
        <f t="shared" si="9"/>
        <v>0</v>
      </c>
    </row>
    <row r="57">
      <c r="A57" s="101"/>
      <c r="B57" s="121"/>
      <c r="C57" s="122"/>
      <c r="D57" s="103" t="str">
        <f t="shared" si="1"/>
        <v/>
      </c>
      <c r="E57" s="103" t="str">
        <f t="shared" si="2"/>
        <v/>
      </c>
      <c r="F57" s="103" t="str">
        <f t="shared" si="3"/>
        <v/>
      </c>
      <c r="G57" s="122"/>
      <c r="H57" s="103">
        <f t="shared" si="4"/>
        <v>0</v>
      </c>
      <c r="I57" s="108">
        <f t="shared" si="5"/>
        <v>0</v>
      </c>
      <c r="J57" s="114"/>
      <c r="K57" s="83"/>
      <c r="L57" s="83"/>
      <c r="M57" s="83"/>
      <c r="N57" s="83"/>
      <c r="O57" s="83"/>
      <c r="P57" s="83"/>
      <c r="Q57" s="83"/>
      <c r="R57" s="83"/>
      <c r="S57" s="83"/>
      <c r="T57" s="83"/>
      <c r="U57" s="83"/>
      <c r="V57" s="83"/>
      <c r="W57" s="83"/>
      <c r="X57" s="83"/>
      <c r="Y57" s="83"/>
      <c r="Z57" s="114"/>
      <c r="AA57" s="115" t="str">
        <f t="shared" si="6"/>
        <v/>
      </c>
      <c r="AB57" s="115">
        <f t="shared" si="7"/>
        <v>0</v>
      </c>
      <c r="AC57" s="115">
        <f t="shared" si="8"/>
        <v>0</v>
      </c>
      <c r="AD57" s="115">
        <f t="shared" si="9"/>
        <v>0</v>
      </c>
    </row>
    <row r="58">
      <c r="A58" s="101"/>
      <c r="B58" s="121"/>
      <c r="C58" s="122"/>
      <c r="D58" s="103" t="str">
        <f t="shared" si="1"/>
        <v/>
      </c>
      <c r="E58" s="103" t="str">
        <f t="shared" si="2"/>
        <v/>
      </c>
      <c r="F58" s="103" t="str">
        <f t="shared" si="3"/>
        <v/>
      </c>
      <c r="G58" s="122"/>
      <c r="H58" s="103">
        <f t="shared" si="4"/>
        <v>0</v>
      </c>
      <c r="I58" s="108">
        <f t="shared" si="5"/>
        <v>0</v>
      </c>
      <c r="J58" s="114"/>
      <c r="K58" s="83"/>
      <c r="L58" s="83"/>
      <c r="M58" s="83"/>
      <c r="N58" s="83"/>
      <c r="O58" s="83"/>
      <c r="P58" s="83"/>
      <c r="Q58" s="83"/>
      <c r="R58" s="83"/>
      <c r="S58" s="83"/>
      <c r="T58" s="83"/>
      <c r="U58" s="83"/>
      <c r="V58" s="83"/>
      <c r="W58" s="83"/>
      <c r="X58" s="83"/>
      <c r="Y58" s="83"/>
      <c r="Z58" s="114"/>
      <c r="AA58" s="115" t="str">
        <f t="shared" si="6"/>
        <v/>
      </c>
      <c r="AB58" s="115">
        <f t="shared" si="7"/>
        <v>0</v>
      </c>
      <c r="AC58" s="115">
        <f t="shared" si="8"/>
        <v>0</v>
      </c>
      <c r="AD58" s="115">
        <f t="shared" si="9"/>
        <v>0</v>
      </c>
    </row>
    <row r="59">
      <c r="A59" s="101"/>
      <c r="B59" s="121"/>
      <c r="C59" s="122"/>
      <c r="D59" s="103" t="str">
        <f t="shared" si="1"/>
        <v/>
      </c>
      <c r="E59" s="103" t="str">
        <f t="shared" si="2"/>
        <v/>
      </c>
      <c r="F59" s="103" t="str">
        <f t="shared" si="3"/>
        <v/>
      </c>
      <c r="G59" s="122"/>
      <c r="H59" s="103">
        <f t="shared" si="4"/>
        <v>0</v>
      </c>
      <c r="I59" s="108">
        <f t="shared" si="5"/>
        <v>0</v>
      </c>
      <c r="J59" s="114"/>
      <c r="K59" s="83"/>
      <c r="L59" s="83"/>
      <c r="M59" s="83"/>
      <c r="N59" s="83"/>
      <c r="O59" s="83"/>
      <c r="P59" s="83"/>
      <c r="Q59" s="83"/>
      <c r="R59" s="83"/>
      <c r="S59" s="83"/>
      <c r="T59" s="83"/>
      <c r="U59" s="83"/>
      <c r="V59" s="83"/>
      <c r="W59" s="83"/>
      <c r="X59" s="83"/>
      <c r="Y59" s="83"/>
      <c r="Z59" s="114"/>
      <c r="AA59" s="115" t="str">
        <f t="shared" si="6"/>
        <v/>
      </c>
      <c r="AB59" s="115">
        <f t="shared" si="7"/>
        <v>0</v>
      </c>
      <c r="AC59" s="115">
        <f t="shared" si="8"/>
        <v>0</v>
      </c>
      <c r="AD59" s="115">
        <f t="shared" si="9"/>
        <v>0</v>
      </c>
    </row>
    <row r="60">
      <c r="A60" s="101"/>
      <c r="B60" s="121"/>
      <c r="C60" s="122"/>
      <c r="D60" s="103" t="str">
        <f t="shared" si="1"/>
        <v/>
      </c>
      <c r="E60" s="103" t="str">
        <f t="shared" si="2"/>
        <v/>
      </c>
      <c r="F60" s="103" t="str">
        <f t="shared" si="3"/>
        <v/>
      </c>
      <c r="G60" s="122"/>
      <c r="H60" s="103">
        <f t="shared" si="4"/>
        <v>0</v>
      </c>
      <c r="I60" s="108">
        <f t="shared" si="5"/>
        <v>0</v>
      </c>
      <c r="J60" s="114"/>
      <c r="K60" s="83"/>
      <c r="L60" s="83"/>
      <c r="M60" s="83"/>
      <c r="N60" s="83"/>
      <c r="O60" s="83"/>
      <c r="P60" s="83"/>
      <c r="Q60" s="83"/>
      <c r="R60" s="83"/>
      <c r="S60" s="83"/>
      <c r="T60" s="83"/>
      <c r="U60" s="83"/>
      <c r="V60" s="83"/>
      <c r="W60" s="83"/>
      <c r="X60" s="83"/>
      <c r="Y60" s="83"/>
      <c r="Z60" s="114"/>
      <c r="AA60" s="115" t="str">
        <f t="shared" si="6"/>
        <v/>
      </c>
      <c r="AB60" s="115">
        <f t="shared" si="7"/>
        <v>0</v>
      </c>
      <c r="AC60" s="115">
        <f t="shared" si="8"/>
        <v>0</v>
      </c>
      <c r="AD60" s="115">
        <f t="shared" si="9"/>
        <v>0</v>
      </c>
    </row>
    <row r="61">
      <c r="A61" s="101"/>
      <c r="B61" s="121"/>
      <c r="C61" s="122"/>
      <c r="D61" s="103" t="str">
        <f t="shared" si="1"/>
        <v/>
      </c>
      <c r="E61" s="103" t="str">
        <f t="shared" si="2"/>
        <v/>
      </c>
      <c r="F61" s="103" t="str">
        <f t="shared" si="3"/>
        <v/>
      </c>
      <c r="G61" s="122"/>
      <c r="H61" s="103">
        <f t="shared" si="4"/>
        <v>0</v>
      </c>
      <c r="I61" s="108">
        <f t="shared" si="5"/>
        <v>0</v>
      </c>
      <c r="J61" s="114"/>
      <c r="K61" s="83"/>
      <c r="L61" s="83"/>
      <c r="M61" s="83"/>
      <c r="N61" s="83"/>
      <c r="O61" s="83"/>
      <c r="P61" s="83"/>
      <c r="Q61" s="83"/>
      <c r="R61" s="83"/>
      <c r="S61" s="83"/>
      <c r="T61" s="83"/>
      <c r="U61" s="83"/>
      <c r="V61" s="83"/>
      <c r="W61" s="83"/>
      <c r="X61" s="83"/>
      <c r="Y61" s="83"/>
      <c r="Z61" s="114"/>
      <c r="AA61" s="115" t="str">
        <f t="shared" si="6"/>
        <v/>
      </c>
      <c r="AB61" s="115">
        <f t="shared" si="7"/>
        <v>0</v>
      </c>
      <c r="AC61" s="115">
        <f t="shared" si="8"/>
        <v>0</v>
      </c>
      <c r="AD61" s="115">
        <f t="shared" si="9"/>
        <v>0</v>
      </c>
    </row>
    <row r="62">
      <c r="A62" s="101"/>
      <c r="B62" s="121"/>
      <c r="C62" s="122"/>
      <c r="D62" s="103" t="str">
        <f t="shared" si="1"/>
        <v/>
      </c>
      <c r="E62" s="103" t="str">
        <f t="shared" si="2"/>
        <v/>
      </c>
      <c r="F62" s="103" t="str">
        <f t="shared" si="3"/>
        <v/>
      </c>
      <c r="G62" s="122"/>
      <c r="H62" s="103">
        <f t="shared" si="4"/>
        <v>0</v>
      </c>
      <c r="I62" s="108">
        <f t="shared" si="5"/>
        <v>0</v>
      </c>
      <c r="J62" s="114"/>
      <c r="K62" s="83"/>
      <c r="L62" s="83"/>
      <c r="M62" s="83"/>
      <c r="N62" s="83"/>
      <c r="O62" s="83"/>
      <c r="P62" s="83"/>
      <c r="Q62" s="83"/>
      <c r="R62" s="83"/>
      <c r="S62" s="83"/>
      <c r="T62" s="83"/>
      <c r="U62" s="83"/>
      <c r="V62" s="83"/>
      <c r="W62" s="83"/>
      <c r="X62" s="83"/>
      <c r="Y62" s="83"/>
      <c r="Z62" s="114"/>
      <c r="AA62" s="115" t="str">
        <f t="shared" si="6"/>
        <v/>
      </c>
      <c r="AB62" s="115">
        <f t="shared" si="7"/>
        <v>0</v>
      </c>
      <c r="AC62" s="115">
        <f t="shared" si="8"/>
        <v>0</v>
      </c>
      <c r="AD62" s="115">
        <f t="shared" si="9"/>
        <v>0</v>
      </c>
    </row>
    <row r="63">
      <c r="A63" s="101"/>
      <c r="B63" s="121"/>
      <c r="C63" s="122"/>
      <c r="D63" s="103" t="str">
        <f t="shared" si="1"/>
        <v/>
      </c>
      <c r="E63" s="103" t="str">
        <f t="shared" si="2"/>
        <v/>
      </c>
      <c r="F63" s="103" t="str">
        <f t="shared" si="3"/>
        <v/>
      </c>
      <c r="G63" s="122"/>
      <c r="H63" s="103">
        <f t="shared" si="4"/>
        <v>0</v>
      </c>
      <c r="I63" s="108">
        <f t="shared" si="5"/>
        <v>0</v>
      </c>
      <c r="J63" s="114"/>
      <c r="K63" s="83"/>
      <c r="L63" s="83"/>
      <c r="M63" s="83"/>
      <c r="N63" s="83"/>
      <c r="O63" s="83"/>
      <c r="P63" s="83"/>
      <c r="Q63" s="83"/>
      <c r="R63" s="83"/>
      <c r="S63" s="83"/>
      <c r="T63" s="83"/>
      <c r="U63" s="83"/>
      <c r="V63" s="83"/>
      <c r="W63" s="83"/>
      <c r="X63" s="83"/>
      <c r="Y63" s="83"/>
      <c r="Z63" s="114"/>
      <c r="AA63" s="115" t="str">
        <f t="shared" si="6"/>
        <v/>
      </c>
      <c r="AB63" s="115">
        <f t="shared" si="7"/>
        <v>0</v>
      </c>
      <c r="AC63" s="115">
        <f t="shared" si="8"/>
        <v>0</v>
      </c>
      <c r="AD63" s="115">
        <f t="shared" si="9"/>
        <v>0</v>
      </c>
    </row>
    <row r="64">
      <c r="A64" s="101"/>
      <c r="B64" s="121"/>
      <c r="C64" s="122"/>
      <c r="D64" s="103" t="str">
        <f t="shared" si="1"/>
        <v/>
      </c>
      <c r="E64" s="103" t="str">
        <f t="shared" si="2"/>
        <v/>
      </c>
      <c r="F64" s="103" t="str">
        <f t="shared" si="3"/>
        <v/>
      </c>
      <c r="G64" s="122"/>
      <c r="H64" s="103">
        <f t="shared" si="4"/>
        <v>0</v>
      </c>
      <c r="I64" s="108">
        <f t="shared" si="5"/>
        <v>0</v>
      </c>
      <c r="J64" s="114"/>
      <c r="K64" s="83"/>
      <c r="L64" s="83"/>
      <c r="M64" s="83"/>
      <c r="N64" s="83"/>
      <c r="O64" s="83"/>
      <c r="P64" s="83"/>
      <c r="Q64" s="83"/>
      <c r="R64" s="83"/>
      <c r="S64" s="83"/>
      <c r="T64" s="83"/>
      <c r="U64" s="83"/>
      <c r="V64" s="83"/>
      <c r="W64" s="83"/>
      <c r="X64" s="83"/>
      <c r="Y64" s="83"/>
      <c r="Z64" s="114"/>
      <c r="AA64" s="115" t="str">
        <f t="shared" si="6"/>
        <v/>
      </c>
      <c r="AB64" s="115">
        <f t="shared" si="7"/>
        <v>0</v>
      </c>
      <c r="AC64" s="115">
        <f t="shared" si="8"/>
        <v>0</v>
      </c>
      <c r="AD64" s="115">
        <f t="shared" si="9"/>
        <v>0</v>
      </c>
    </row>
    <row r="65">
      <c r="A65" s="101"/>
      <c r="B65" s="121"/>
      <c r="C65" s="122"/>
      <c r="D65" s="103" t="str">
        <f t="shared" si="1"/>
        <v/>
      </c>
      <c r="E65" s="103" t="str">
        <f t="shared" si="2"/>
        <v/>
      </c>
      <c r="F65" s="103" t="str">
        <f t="shared" si="3"/>
        <v/>
      </c>
      <c r="G65" s="122"/>
      <c r="H65" s="103">
        <f t="shared" si="4"/>
        <v>0</v>
      </c>
      <c r="I65" s="108">
        <f t="shared" si="5"/>
        <v>0</v>
      </c>
      <c r="J65" s="114"/>
      <c r="K65" s="83"/>
      <c r="L65" s="83"/>
      <c r="M65" s="83"/>
      <c r="N65" s="83"/>
      <c r="O65" s="83"/>
      <c r="P65" s="83"/>
      <c r="Q65" s="83"/>
      <c r="R65" s="83"/>
      <c r="S65" s="83"/>
      <c r="T65" s="83"/>
      <c r="U65" s="83"/>
      <c r="V65" s="83"/>
      <c r="W65" s="83"/>
      <c r="X65" s="83"/>
      <c r="Y65" s="83"/>
      <c r="Z65" s="114"/>
      <c r="AA65" s="115" t="str">
        <f t="shared" si="6"/>
        <v/>
      </c>
      <c r="AB65" s="115">
        <f t="shared" si="7"/>
        <v>0</v>
      </c>
      <c r="AC65" s="115">
        <f t="shared" si="8"/>
        <v>0</v>
      </c>
      <c r="AD65" s="115">
        <f t="shared" si="9"/>
        <v>0</v>
      </c>
    </row>
    <row r="66">
      <c r="A66" s="101"/>
      <c r="B66" s="121"/>
      <c r="C66" s="122"/>
      <c r="D66" s="103" t="str">
        <f t="shared" si="1"/>
        <v/>
      </c>
      <c r="E66" s="103" t="str">
        <f t="shared" si="2"/>
        <v/>
      </c>
      <c r="F66" s="103" t="str">
        <f t="shared" si="3"/>
        <v/>
      </c>
      <c r="G66" s="122"/>
      <c r="H66" s="103">
        <f t="shared" si="4"/>
        <v>0</v>
      </c>
      <c r="I66" s="108">
        <f t="shared" si="5"/>
        <v>0</v>
      </c>
      <c r="J66" s="114"/>
      <c r="K66" s="83"/>
      <c r="L66" s="83"/>
      <c r="M66" s="83"/>
      <c r="N66" s="83"/>
      <c r="O66" s="83"/>
      <c r="P66" s="83"/>
      <c r="Q66" s="83"/>
      <c r="R66" s="83"/>
      <c r="S66" s="83"/>
      <c r="T66" s="83"/>
      <c r="U66" s="83"/>
      <c r="V66" s="83"/>
      <c r="W66" s="83"/>
      <c r="X66" s="83"/>
      <c r="Y66" s="83"/>
      <c r="Z66" s="114"/>
      <c r="AA66" s="115" t="str">
        <f t="shared" si="6"/>
        <v/>
      </c>
      <c r="AB66" s="115">
        <f t="shared" si="7"/>
        <v>0</v>
      </c>
      <c r="AC66" s="115">
        <f t="shared" si="8"/>
        <v>0</v>
      </c>
      <c r="AD66" s="115">
        <f t="shared" si="9"/>
        <v>0</v>
      </c>
    </row>
    <row r="67">
      <c r="A67" s="101"/>
      <c r="B67" s="121"/>
      <c r="C67" s="122"/>
      <c r="D67" s="103" t="str">
        <f t="shared" si="1"/>
        <v/>
      </c>
      <c r="E67" s="103" t="str">
        <f t="shared" si="2"/>
        <v/>
      </c>
      <c r="F67" s="103" t="str">
        <f t="shared" si="3"/>
        <v/>
      </c>
      <c r="G67" s="122"/>
      <c r="H67" s="103">
        <f t="shared" si="4"/>
        <v>0</v>
      </c>
      <c r="I67" s="108">
        <f t="shared" si="5"/>
        <v>0</v>
      </c>
      <c r="J67" s="114"/>
      <c r="K67" s="83"/>
      <c r="L67" s="83"/>
      <c r="M67" s="83"/>
      <c r="N67" s="83"/>
      <c r="O67" s="83"/>
      <c r="P67" s="83"/>
      <c r="Q67" s="83"/>
      <c r="R67" s="83"/>
      <c r="S67" s="83"/>
      <c r="T67" s="83"/>
      <c r="U67" s="83"/>
      <c r="V67" s="83"/>
      <c r="W67" s="83"/>
      <c r="X67" s="83"/>
      <c r="Y67" s="83"/>
      <c r="Z67" s="114"/>
      <c r="AA67" s="115" t="str">
        <f t="shared" si="6"/>
        <v/>
      </c>
      <c r="AB67" s="115">
        <f t="shared" si="7"/>
        <v>0</v>
      </c>
      <c r="AC67" s="115">
        <f t="shared" si="8"/>
        <v>0</v>
      </c>
      <c r="AD67" s="115">
        <f t="shared" si="9"/>
        <v>0</v>
      </c>
    </row>
    <row r="68">
      <c r="A68" s="101"/>
      <c r="B68" s="121"/>
      <c r="C68" s="122"/>
      <c r="D68" s="103" t="str">
        <f t="shared" si="1"/>
        <v/>
      </c>
      <c r="E68" s="103" t="str">
        <f t="shared" si="2"/>
        <v/>
      </c>
      <c r="F68" s="103" t="str">
        <f t="shared" si="3"/>
        <v/>
      </c>
      <c r="G68" s="122"/>
      <c r="H68" s="103">
        <f t="shared" si="4"/>
        <v>0</v>
      </c>
      <c r="I68" s="108">
        <f t="shared" si="5"/>
        <v>0</v>
      </c>
      <c r="J68" s="114"/>
      <c r="K68" s="83"/>
      <c r="L68" s="83"/>
      <c r="M68" s="83"/>
      <c r="N68" s="83"/>
      <c r="O68" s="83"/>
      <c r="P68" s="83"/>
      <c r="Q68" s="83"/>
      <c r="R68" s="83"/>
      <c r="S68" s="83"/>
      <c r="T68" s="83"/>
      <c r="U68" s="83"/>
      <c r="V68" s="83"/>
      <c r="W68" s="83"/>
      <c r="X68" s="83"/>
      <c r="Y68" s="83"/>
      <c r="Z68" s="114"/>
      <c r="AA68" s="115" t="str">
        <f t="shared" si="6"/>
        <v/>
      </c>
      <c r="AB68" s="115">
        <f t="shared" si="7"/>
        <v>0</v>
      </c>
      <c r="AC68" s="115">
        <f t="shared" si="8"/>
        <v>0</v>
      </c>
      <c r="AD68" s="115">
        <f t="shared" si="9"/>
        <v>0</v>
      </c>
    </row>
    <row r="69">
      <c r="A69" s="101"/>
      <c r="B69" s="121"/>
      <c r="C69" s="122"/>
      <c r="D69" s="103" t="str">
        <f t="shared" si="1"/>
        <v/>
      </c>
      <c r="E69" s="103" t="str">
        <f t="shared" si="2"/>
        <v/>
      </c>
      <c r="F69" s="103" t="str">
        <f t="shared" si="3"/>
        <v/>
      </c>
      <c r="G69" s="122"/>
      <c r="H69" s="103">
        <f t="shared" si="4"/>
        <v>0</v>
      </c>
      <c r="I69" s="108">
        <f t="shared" si="5"/>
        <v>0</v>
      </c>
      <c r="J69" s="114"/>
      <c r="K69" s="83"/>
      <c r="L69" s="83"/>
      <c r="M69" s="83"/>
      <c r="N69" s="83"/>
      <c r="O69" s="83"/>
      <c r="P69" s="83"/>
      <c r="Q69" s="83"/>
      <c r="R69" s="83"/>
      <c r="S69" s="83"/>
      <c r="T69" s="83"/>
      <c r="U69" s="83"/>
      <c r="V69" s="83"/>
      <c r="W69" s="83"/>
      <c r="X69" s="83"/>
      <c r="Y69" s="83"/>
      <c r="Z69" s="114"/>
      <c r="AA69" s="115" t="str">
        <f t="shared" si="6"/>
        <v/>
      </c>
      <c r="AB69" s="115">
        <f t="shared" si="7"/>
        <v>0</v>
      </c>
      <c r="AC69" s="115">
        <f t="shared" si="8"/>
        <v>0</v>
      </c>
      <c r="AD69" s="115">
        <f t="shared" si="9"/>
        <v>0</v>
      </c>
    </row>
    <row r="70">
      <c r="A70" s="101"/>
      <c r="B70" s="121"/>
      <c r="C70" s="122"/>
      <c r="D70" s="103" t="str">
        <f t="shared" si="1"/>
        <v/>
      </c>
      <c r="E70" s="103" t="str">
        <f t="shared" si="2"/>
        <v/>
      </c>
      <c r="F70" s="103" t="str">
        <f t="shared" si="3"/>
        <v/>
      </c>
      <c r="G70" s="122"/>
      <c r="H70" s="103">
        <f t="shared" si="4"/>
        <v>0</v>
      </c>
      <c r="I70" s="108">
        <f t="shared" si="5"/>
        <v>0</v>
      </c>
      <c r="J70" s="114"/>
      <c r="K70" s="83"/>
      <c r="L70" s="83"/>
      <c r="M70" s="83"/>
      <c r="N70" s="83"/>
      <c r="O70" s="83"/>
      <c r="P70" s="83"/>
      <c r="Q70" s="83"/>
      <c r="R70" s="83"/>
      <c r="S70" s="83"/>
      <c r="T70" s="83"/>
      <c r="U70" s="83"/>
      <c r="V70" s="83"/>
      <c r="W70" s="83"/>
      <c r="X70" s="83"/>
      <c r="Y70" s="83"/>
      <c r="Z70" s="114"/>
      <c r="AA70" s="115" t="str">
        <f t="shared" si="6"/>
        <v/>
      </c>
      <c r="AB70" s="115">
        <f t="shared" si="7"/>
        <v>0</v>
      </c>
      <c r="AC70" s="115">
        <f t="shared" si="8"/>
        <v>0</v>
      </c>
      <c r="AD70" s="115">
        <f t="shared" si="9"/>
        <v>0</v>
      </c>
    </row>
    <row r="71">
      <c r="A71" s="101"/>
      <c r="B71" s="121"/>
      <c r="C71" s="122"/>
      <c r="D71" s="103" t="str">
        <f t="shared" si="1"/>
        <v/>
      </c>
      <c r="E71" s="103" t="str">
        <f t="shared" si="2"/>
        <v/>
      </c>
      <c r="F71" s="103" t="str">
        <f t="shared" si="3"/>
        <v/>
      </c>
      <c r="G71" s="122"/>
      <c r="H71" s="103">
        <f t="shared" si="4"/>
        <v>0</v>
      </c>
      <c r="I71" s="108">
        <f t="shared" si="5"/>
        <v>0</v>
      </c>
      <c r="J71" s="114"/>
      <c r="K71" s="83"/>
      <c r="L71" s="83"/>
      <c r="M71" s="83"/>
      <c r="N71" s="83"/>
      <c r="O71" s="83"/>
      <c r="P71" s="83"/>
      <c r="Q71" s="83"/>
      <c r="R71" s="83"/>
      <c r="S71" s="83"/>
      <c r="T71" s="83"/>
      <c r="U71" s="83"/>
      <c r="V71" s="83"/>
      <c r="W71" s="83"/>
      <c r="X71" s="83"/>
      <c r="Y71" s="83"/>
      <c r="Z71" s="114"/>
      <c r="AA71" s="115" t="str">
        <f t="shared" si="6"/>
        <v/>
      </c>
      <c r="AB71" s="115">
        <f t="shared" si="7"/>
        <v>0</v>
      </c>
      <c r="AC71" s="115">
        <f t="shared" si="8"/>
        <v>0</v>
      </c>
      <c r="AD71" s="115">
        <f t="shared" si="9"/>
        <v>0</v>
      </c>
    </row>
    <row r="72">
      <c r="A72" s="101"/>
      <c r="B72" s="121"/>
      <c r="C72" s="122"/>
      <c r="D72" s="103" t="str">
        <f t="shared" si="1"/>
        <v/>
      </c>
      <c r="E72" s="103" t="str">
        <f t="shared" si="2"/>
        <v/>
      </c>
      <c r="F72" s="103" t="str">
        <f t="shared" si="3"/>
        <v/>
      </c>
      <c r="G72" s="122"/>
      <c r="H72" s="103">
        <f t="shared" si="4"/>
        <v>0</v>
      </c>
      <c r="I72" s="108">
        <f t="shared" si="5"/>
        <v>0</v>
      </c>
      <c r="J72" s="114"/>
      <c r="K72" s="83"/>
      <c r="L72" s="83"/>
      <c r="M72" s="83"/>
      <c r="N72" s="83"/>
      <c r="O72" s="83"/>
      <c r="P72" s="83"/>
      <c r="Q72" s="83"/>
      <c r="R72" s="83"/>
      <c r="S72" s="83"/>
      <c r="T72" s="83"/>
      <c r="U72" s="83"/>
      <c r="V72" s="83"/>
      <c r="W72" s="83"/>
      <c r="X72" s="83"/>
      <c r="Y72" s="83"/>
      <c r="Z72" s="114"/>
      <c r="AA72" s="115" t="str">
        <f t="shared" si="6"/>
        <v/>
      </c>
      <c r="AB72" s="115">
        <f t="shared" si="7"/>
        <v>0</v>
      </c>
      <c r="AC72" s="115">
        <f t="shared" si="8"/>
        <v>0</v>
      </c>
      <c r="AD72" s="115">
        <f t="shared" si="9"/>
        <v>0</v>
      </c>
    </row>
    <row r="73">
      <c r="A73" s="101"/>
      <c r="B73" s="121"/>
      <c r="C73" s="122"/>
      <c r="D73" s="103" t="str">
        <f t="shared" si="1"/>
        <v/>
      </c>
      <c r="E73" s="103" t="str">
        <f t="shared" si="2"/>
        <v/>
      </c>
      <c r="F73" s="103" t="str">
        <f t="shared" si="3"/>
        <v/>
      </c>
      <c r="G73" s="122"/>
      <c r="H73" s="103">
        <f t="shared" si="4"/>
        <v>0</v>
      </c>
      <c r="I73" s="108">
        <f t="shared" si="5"/>
        <v>0</v>
      </c>
      <c r="J73" s="114"/>
      <c r="K73" s="83"/>
      <c r="L73" s="83"/>
      <c r="M73" s="83"/>
      <c r="N73" s="83"/>
      <c r="O73" s="83"/>
      <c r="P73" s="83"/>
      <c r="Q73" s="83"/>
      <c r="R73" s="83"/>
      <c r="S73" s="83"/>
      <c r="T73" s="83"/>
      <c r="U73" s="83"/>
      <c r="V73" s="83"/>
      <c r="W73" s="83"/>
      <c r="X73" s="83"/>
      <c r="Y73" s="83"/>
      <c r="Z73" s="114"/>
      <c r="AA73" s="115" t="str">
        <f t="shared" si="6"/>
        <v/>
      </c>
      <c r="AB73" s="115">
        <f t="shared" si="7"/>
        <v>0</v>
      </c>
      <c r="AC73" s="115">
        <f t="shared" si="8"/>
        <v>0</v>
      </c>
      <c r="AD73" s="115">
        <f t="shared" si="9"/>
        <v>0</v>
      </c>
    </row>
    <row r="74">
      <c r="A74" s="101"/>
      <c r="B74" s="121"/>
      <c r="C74" s="122"/>
      <c r="D74" s="103" t="str">
        <f t="shared" si="1"/>
        <v/>
      </c>
      <c r="E74" s="103" t="str">
        <f t="shared" si="2"/>
        <v/>
      </c>
      <c r="F74" s="103" t="str">
        <f t="shared" si="3"/>
        <v/>
      </c>
      <c r="G74" s="122"/>
      <c r="H74" s="103">
        <f t="shared" si="4"/>
        <v>0</v>
      </c>
      <c r="I74" s="108">
        <f t="shared" si="5"/>
        <v>0</v>
      </c>
      <c r="J74" s="114"/>
      <c r="K74" s="83"/>
      <c r="L74" s="83"/>
      <c r="M74" s="83"/>
      <c r="N74" s="83"/>
      <c r="O74" s="83"/>
      <c r="P74" s="83"/>
      <c r="Q74" s="83"/>
      <c r="R74" s="83"/>
      <c r="S74" s="83"/>
      <c r="T74" s="83"/>
      <c r="U74" s="83"/>
      <c r="V74" s="83"/>
      <c r="W74" s="83"/>
      <c r="X74" s="83"/>
      <c r="Y74" s="83"/>
      <c r="Z74" s="114"/>
      <c r="AA74" s="115" t="str">
        <f t="shared" si="6"/>
        <v/>
      </c>
      <c r="AB74" s="115">
        <f t="shared" si="7"/>
        <v>0</v>
      </c>
      <c r="AC74" s="115">
        <f t="shared" si="8"/>
        <v>0</v>
      </c>
      <c r="AD74" s="115">
        <f t="shared" si="9"/>
        <v>0</v>
      </c>
    </row>
    <row r="75">
      <c r="A75" s="101"/>
      <c r="B75" s="121"/>
      <c r="C75" s="122"/>
      <c r="D75" s="103" t="str">
        <f t="shared" si="1"/>
        <v/>
      </c>
      <c r="E75" s="103" t="str">
        <f t="shared" si="2"/>
        <v/>
      </c>
      <c r="F75" s="103" t="str">
        <f t="shared" si="3"/>
        <v/>
      </c>
      <c r="G75" s="122"/>
      <c r="H75" s="103">
        <f t="shared" si="4"/>
        <v>0</v>
      </c>
      <c r="I75" s="108">
        <f t="shared" si="5"/>
        <v>0</v>
      </c>
      <c r="J75" s="114"/>
      <c r="K75" s="83"/>
      <c r="L75" s="83"/>
      <c r="M75" s="83"/>
      <c r="N75" s="83"/>
      <c r="O75" s="83"/>
      <c r="P75" s="83"/>
      <c r="Q75" s="83"/>
      <c r="R75" s="83"/>
      <c r="S75" s="83"/>
      <c r="T75" s="83"/>
      <c r="U75" s="83"/>
      <c r="V75" s="83"/>
      <c r="W75" s="83"/>
      <c r="X75" s="83"/>
      <c r="Y75" s="83"/>
      <c r="Z75" s="114"/>
      <c r="AA75" s="115" t="str">
        <f t="shared" si="6"/>
        <v/>
      </c>
      <c r="AB75" s="115">
        <f t="shared" si="7"/>
        <v>0</v>
      </c>
      <c r="AC75" s="115">
        <f t="shared" si="8"/>
        <v>0</v>
      </c>
      <c r="AD75" s="115">
        <f t="shared" si="9"/>
        <v>0</v>
      </c>
    </row>
    <row r="76">
      <c r="A76" s="101"/>
      <c r="B76" s="121"/>
      <c r="C76" s="122"/>
      <c r="D76" s="103" t="str">
        <f t="shared" si="1"/>
        <v/>
      </c>
      <c r="E76" s="103" t="str">
        <f t="shared" si="2"/>
        <v/>
      </c>
      <c r="F76" s="103" t="str">
        <f t="shared" si="3"/>
        <v/>
      </c>
      <c r="G76" s="122"/>
      <c r="H76" s="103">
        <f t="shared" si="4"/>
        <v>0</v>
      </c>
      <c r="I76" s="108">
        <f t="shared" si="5"/>
        <v>0</v>
      </c>
      <c r="J76" s="114"/>
      <c r="K76" s="83"/>
      <c r="L76" s="83"/>
      <c r="M76" s="83"/>
      <c r="N76" s="83"/>
      <c r="O76" s="83"/>
      <c r="P76" s="83"/>
      <c r="Q76" s="83"/>
      <c r="R76" s="83"/>
      <c r="S76" s="83"/>
      <c r="T76" s="83"/>
      <c r="U76" s="83"/>
      <c r="V76" s="83"/>
      <c r="W76" s="83"/>
      <c r="X76" s="83"/>
      <c r="Y76" s="83"/>
      <c r="Z76" s="114"/>
      <c r="AA76" s="115" t="str">
        <f t="shared" si="6"/>
        <v/>
      </c>
      <c r="AB76" s="115">
        <f t="shared" si="7"/>
        <v>0</v>
      </c>
      <c r="AC76" s="115">
        <f t="shared" si="8"/>
        <v>0</v>
      </c>
      <c r="AD76" s="115">
        <f t="shared" si="9"/>
        <v>0</v>
      </c>
    </row>
    <row r="77">
      <c r="A77" s="101"/>
      <c r="B77" s="121"/>
      <c r="C77" s="122"/>
      <c r="D77" s="103" t="str">
        <f t="shared" si="1"/>
        <v/>
      </c>
      <c r="E77" s="103" t="str">
        <f t="shared" si="2"/>
        <v/>
      </c>
      <c r="F77" s="103" t="str">
        <f t="shared" si="3"/>
        <v/>
      </c>
      <c r="G77" s="122"/>
      <c r="H77" s="103">
        <f t="shared" si="4"/>
        <v>0</v>
      </c>
      <c r="I77" s="108">
        <f t="shared" si="5"/>
        <v>0</v>
      </c>
      <c r="J77" s="114"/>
      <c r="K77" s="83"/>
      <c r="L77" s="83"/>
      <c r="M77" s="83"/>
      <c r="N77" s="83"/>
      <c r="O77" s="83"/>
      <c r="P77" s="83"/>
      <c r="Q77" s="83"/>
      <c r="R77" s="83"/>
      <c r="S77" s="83"/>
      <c r="T77" s="83"/>
      <c r="U77" s="83"/>
      <c r="V77" s="83"/>
      <c r="W77" s="83"/>
      <c r="X77" s="83"/>
      <c r="Y77" s="83"/>
      <c r="Z77" s="114"/>
      <c r="AA77" s="115" t="str">
        <f t="shared" si="6"/>
        <v/>
      </c>
      <c r="AB77" s="115">
        <f t="shared" si="7"/>
        <v>0</v>
      </c>
      <c r="AC77" s="115">
        <f t="shared" si="8"/>
        <v>0</v>
      </c>
      <c r="AD77" s="115">
        <f t="shared" si="9"/>
        <v>0</v>
      </c>
    </row>
    <row r="78">
      <c r="A78" s="101"/>
      <c r="B78" s="121"/>
      <c r="C78" s="122"/>
      <c r="D78" s="103" t="str">
        <f t="shared" si="1"/>
        <v/>
      </c>
      <c r="E78" s="103" t="str">
        <f t="shared" si="2"/>
        <v/>
      </c>
      <c r="F78" s="103" t="str">
        <f t="shared" si="3"/>
        <v/>
      </c>
      <c r="G78" s="122"/>
      <c r="H78" s="103">
        <f t="shared" si="4"/>
        <v>0</v>
      </c>
      <c r="I78" s="108">
        <f t="shared" si="5"/>
        <v>0</v>
      </c>
      <c r="J78" s="114"/>
      <c r="K78" s="83"/>
      <c r="L78" s="83"/>
      <c r="M78" s="83"/>
      <c r="N78" s="83"/>
      <c r="O78" s="83"/>
      <c r="P78" s="83"/>
      <c r="Q78" s="83"/>
      <c r="R78" s="83"/>
      <c r="S78" s="83"/>
      <c r="T78" s="83"/>
      <c r="U78" s="83"/>
      <c r="V78" s="83"/>
      <c r="W78" s="83"/>
      <c r="X78" s="83"/>
      <c r="Y78" s="83"/>
      <c r="Z78" s="114"/>
      <c r="AA78" s="115" t="str">
        <f t="shared" si="6"/>
        <v/>
      </c>
      <c r="AB78" s="115">
        <f t="shared" si="7"/>
        <v>0</v>
      </c>
      <c r="AC78" s="115">
        <f t="shared" si="8"/>
        <v>0</v>
      </c>
      <c r="AD78" s="115">
        <f t="shared" si="9"/>
        <v>0</v>
      </c>
    </row>
    <row r="79">
      <c r="A79" s="101"/>
      <c r="B79" s="121"/>
      <c r="C79" s="122"/>
      <c r="D79" s="103" t="str">
        <f t="shared" si="1"/>
        <v/>
      </c>
      <c r="E79" s="103" t="str">
        <f t="shared" si="2"/>
        <v/>
      </c>
      <c r="F79" s="103" t="str">
        <f t="shared" si="3"/>
        <v/>
      </c>
      <c r="G79" s="122"/>
      <c r="H79" s="103">
        <f t="shared" si="4"/>
        <v>0</v>
      </c>
      <c r="I79" s="108">
        <f t="shared" si="5"/>
        <v>0</v>
      </c>
      <c r="J79" s="114"/>
      <c r="K79" s="83"/>
      <c r="L79" s="83"/>
      <c r="M79" s="83"/>
      <c r="N79" s="83"/>
      <c r="O79" s="83"/>
      <c r="P79" s="83"/>
      <c r="Q79" s="83"/>
      <c r="R79" s="83"/>
      <c r="S79" s="83"/>
      <c r="T79" s="83"/>
      <c r="U79" s="83"/>
      <c r="V79" s="83"/>
      <c r="W79" s="83"/>
      <c r="X79" s="83"/>
      <c r="Y79" s="83"/>
      <c r="Z79" s="114"/>
      <c r="AA79" s="115" t="str">
        <f t="shared" si="6"/>
        <v/>
      </c>
      <c r="AB79" s="115">
        <f t="shared" si="7"/>
        <v>0</v>
      </c>
      <c r="AC79" s="115">
        <f t="shared" si="8"/>
        <v>0</v>
      </c>
      <c r="AD79" s="115">
        <f t="shared" si="9"/>
        <v>0</v>
      </c>
    </row>
    <row r="80">
      <c r="A80" s="101"/>
      <c r="B80" s="121"/>
      <c r="C80" s="122"/>
      <c r="D80" s="103" t="str">
        <f t="shared" si="1"/>
        <v/>
      </c>
      <c r="E80" s="103" t="str">
        <f t="shared" si="2"/>
        <v/>
      </c>
      <c r="F80" s="103" t="str">
        <f t="shared" si="3"/>
        <v/>
      </c>
      <c r="G80" s="122"/>
      <c r="H80" s="103">
        <f t="shared" si="4"/>
        <v>0</v>
      </c>
      <c r="I80" s="108">
        <f t="shared" si="5"/>
        <v>0</v>
      </c>
      <c r="J80" s="114"/>
      <c r="K80" s="83"/>
      <c r="L80" s="83"/>
      <c r="M80" s="83"/>
      <c r="N80" s="83"/>
      <c r="O80" s="83"/>
      <c r="P80" s="83"/>
      <c r="Q80" s="83"/>
      <c r="R80" s="83"/>
      <c r="S80" s="83"/>
      <c r="T80" s="83"/>
      <c r="U80" s="83"/>
      <c r="V80" s="83"/>
      <c r="W80" s="83"/>
      <c r="X80" s="83"/>
      <c r="Y80" s="83"/>
      <c r="Z80" s="114"/>
      <c r="AA80" s="115" t="str">
        <f t="shared" si="6"/>
        <v/>
      </c>
      <c r="AB80" s="115">
        <f t="shared" si="7"/>
        <v>0</v>
      </c>
      <c r="AC80" s="115">
        <f t="shared" si="8"/>
        <v>0</v>
      </c>
      <c r="AD80" s="115">
        <f t="shared" si="9"/>
        <v>0</v>
      </c>
    </row>
    <row r="81">
      <c r="A81" s="101"/>
      <c r="B81" s="121"/>
      <c r="C81" s="122"/>
      <c r="D81" s="103" t="str">
        <f t="shared" si="1"/>
        <v/>
      </c>
      <c r="E81" s="103" t="str">
        <f t="shared" si="2"/>
        <v/>
      </c>
      <c r="F81" s="103" t="str">
        <f t="shared" si="3"/>
        <v/>
      </c>
      <c r="G81" s="122"/>
      <c r="H81" s="103">
        <f t="shared" si="4"/>
        <v>0</v>
      </c>
      <c r="I81" s="108">
        <f t="shared" si="5"/>
        <v>0</v>
      </c>
      <c r="J81" s="114"/>
      <c r="K81" s="83"/>
      <c r="L81" s="83"/>
      <c r="M81" s="83"/>
      <c r="N81" s="83"/>
      <c r="O81" s="83"/>
      <c r="P81" s="83"/>
      <c r="Q81" s="83"/>
      <c r="R81" s="83"/>
      <c r="S81" s="83"/>
      <c r="T81" s="83"/>
      <c r="U81" s="83"/>
      <c r="V81" s="83"/>
      <c r="W81" s="83"/>
      <c r="X81" s="83"/>
      <c r="Y81" s="83"/>
      <c r="Z81" s="114"/>
      <c r="AA81" s="115" t="str">
        <f t="shared" si="6"/>
        <v/>
      </c>
      <c r="AB81" s="115">
        <f t="shared" si="7"/>
        <v>0</v>
      </c>
      <c r="AC81" s="115">
        <f t="shared" si="8"/>
        <v>0</v>
      </c>
      <c r="AD81" s="115">
        <f t="shared" si="9"/>
        <v>0</v>
      </c>
    </row>
    <row r="82">
      <c r="A82" s="101"/>
      <c r="B82" s="121"/>
      <c r="C82" s="122"/>
      <c r="D82" s="103" t="str">
        <f t="shared" si="1"/>
        <v/>
      </c>
      <c r="E82" s="103" t="str">
        <f t="shared" si="2"/>
        <v/>
      </c>
      <c r="F82" s="103" t="str">
        <f t="shared" si="3"/>
        <v/>
      </c>
      <c r="G82" s="122"/>
      <c r="H82" s="103">
        <f t="shared" si="4"/>
        <v>0</v>
      </c>
      <c r="I82" s="108">
        <f t="shared" si="5"/>
        <v>0</v>
      </c>
      <c r="J82" s="114"/>
      <c r="K82" s="83"/>
      <c r="L82" s="83"/>
      <c r="M82" s="83"/>
      <c r="N82" s="83"/>
      <c r="O82" s="83"/>
      <c r="P82" s="83"/>
      <c r="Q82" s="83"/>
      <c r="R82" s="83"/>
      <c r="S82" s="83"/>
      <c r="T82" s="83"/>
      <c r="U82" s="83"/>
      <c r="V82" s="83"/>
      <c r="W82" s="83"/>
      <c r="X82" s="83"/>
      <c r="Y82" s="83"/>
      <c r="Z82" s="114"/>
      <c r="AA82" s="115" t="str">
        <f t="shared" si="6"/>
        <v/>
      </c>
      <c r="AB82" s="115">
        <f t="shared" si="7"/>
        <v>0</v>
      </c>
      <c r="AC82" s="115">
        <f t="shared" si="8"/>
        <v>0</v>
      </c>
      <c r="AD82" s="115">
        <f t="shared" si="9"/>
        <v>0</v>
      </c>
    </row>
    <row r="83">
      <c r="A83" s="101"/>
      <c r="B83" s="121"/>
      <c r="C83" s="122"/>
      <c r="D83" s="103" t="str">
        <f t="shared" si="1"/>
        <v/>
      </c>
      <c r="E83" s="103" t="str">
        <f t="shared" si="2"/>
        <v/>
      </c>
      <c r="F83" s="103" t="str">
        <f t="shared" si="3"/>
        <v/>
      </c>
      <c r="G83" s="122"/>
      <c r="H83" s="103">
        <f t="shared" si="4"/>
        <v>0</v>
      </c>
      <c r="I83" s="108">
        <f t="shared" si="5"/>
        <v>0</v>
      </c>
      <c r="J83" s="114"/>
      <c r="K83" s="83"/>
      <c r="L83" s="83"/>
      <c r="M83" s="83"/>
      <c r="N83" s="83"/>
      <c r="O83" s="83"/>
      <c r="P83" s="83"/>
      <c r="Q83" s="83"/>
      <c r="R83" s="83"/>
      <c r="S83" s="83"/>
      <c r="T83" s="83"/>
      <c r="U83" s="83"/>
      <c r="V83" s="83"/>
      <c r="W83" s="83"/>
      <c r="X83" s="83"/>
      <c r="Y83" s="83"/>
      <c r="Z83" s="114"/>
      <c r="AA83" s="115" t="str">
        <f t="shared" si="6"/>
        <v/>
      </c>
      <c r="AB83" s="115">
        <f t="shared" si="7"/>
        <v>0</v>
      </c>
      <c r="AC83" s="115">
        <f t="shared" si="8"/>
        <v>0</v>
      </c>
      <c r="AD83" s="115">
        <f t="shared" si="9"/>
        <v>0</v>
      </c>
    </row>
    <row r="84">
      <c r="A84" s="101"/>
      <c r="B84" s="121"/>
      <c r="C84" s="122"/>
      <c r="D84" s="103" t="str">
        <f t="shared" si="1"/>
        <v/>
      </c>
      <c r="E84" s="103" t="str">
        <f t="shared" si="2"/>
        <v/>
      </c>
      <c r="F84" s="103" t="str">
        <f t="shared" si="3"/>
        <v/>
      </c>
      <c r="G84" s="122"/>
      <c r="H84" s="103">
        <f t="shared" si="4"/>
        <v>0</v>
      </c>
      <c r="I84" s="108">
        <f t="shared" si="5"/>
        <v>0</v>
      </c>
      <c r="J84" s="114"/>
      <c r="K84" s="83"/>
      <c r="L84" s="83"/>
      <c r="M84" s="83"/>
      <c r="N84" s="83"/>
      <c r="O84" s="83"/>
      <c r="P84" s="83"/>
      <c r="Q84" s="83"/>
      <c r="R84" s="83"/>
      <c r="S84" s="83"/>
      <c r="T84" s="83"/>
      <c r="U84" s="83"/>
      <c r="V84" s="83"/>
      <c r="W84" s="83"/>
      <c r="X84" s="83"/>
      <c r="Y84" s="83"/>
      <c r="Z84" s="114"/>
      <c r="AA84" s="115" t="str">
        <f t="shared" si="6"/>
        <v/>
      </c>
      <c r="AB84" s="115">
        <f t="shared" si="7"/>
        <v>0</v>
      </c>
      <c r="AC84" s="115">
        <f t="shared" si="8"/>
        <v>0</v>
      </c>
      <c r="AD84" s="115">
        <f t="shared" si="9"/>
        <v>0</v>
      </c>
    </row>
    <row r="85">
      <c r="A85" s="101"/>
      <c r="B85" s="121"/>
      <c r="C85" s="122"/>
      <c r="D85" s="103" t="str">
        <f t="shared" si="1"/>
        <v/>
      </c>
      <c r="E85" s="103" t="str">
        <f t="shared" si="2"/>
        <v/>
      </c>
      <c r="F85" s="103" t="str">
        <f t="shared" si="3"/>
        <v/>
      </c>
      <c r="G85" s="122"/>
      <c r="H85" s="103">
        <f t="shared" si="4"/>
        <v>0</v>
      </c>
      <c r="I85" s="108">
        <f t="shared" si="5"/>
        <v>0</v>
      </c>
      <c r="J85" s="114"/>
      <c r="K85" s="83"/>
      <c r="L85" s="83"/>
      <c r="M85" s="83"/>
      <c r="N85" s="83"/>
      <c r="O85" s="83"/>
      <c r="P85" s="83"/>
      <c r="Q85" s="83"/>
      <c r="R85" s="83"/>
      <c r="S85" s="83"/>
      <c r="T85" s="83"/>
      <c r="U85" s="83"/>
      <c r="V85" s="83"/>
      <c r="W85" s="83"/>
      <c r="X85" s="83"/>
      <c r="Y85" s="83"/>
      <c r="Z85" s="114"/>
      <c r="AA85" s="115" t="str">
        <f t="shared" si="6"/>
        <v/>
      </c>
      <c r="AB85" s="115">
        <f t="shared" si="7"/>
        <v>0</v>
      </c>
      <c r="AC85" s="115">
        <f t="shared" si="8"/>
        <v>0</v>
      </c>
      <c r="AD85" s="115">
        <f t="shared" si="9"/>
        <v>0</v>
      </c>
    </row>
    <row r="86">
      <c r="A86" s="101"/>
      <c r="B86" s="121"/>
      <c r="C86" s="122"/>
      <c r="D86" s="103" t="str">
        <f t="shared" si="1"/>
        <v/>
      </c>
      <c r="E86" s="103" t="str">
        <f t="shared" si="2"/>
        <v/>
      </c>
      <c r="F86" s="103" t="str">
        <f t="shared" si="3"/>
        <v/>
      </c>
      <c r="G86" s="122"/>
      <c r="H86" s="103">
        <f t="shared" si="4"/>
        <v>0</v>
      </c>
      <c r="I86" s="108">
        <f t="shared" si="5"/>
        <v>0</v>
      </c>
      <c r="J86" s="114"/>
      <c r="K86" s="83"/>
      <c r="L86" s="83"/>
      <c r="M86" s="83"/>
      <c r="N86" s="83"/>
      <c r="O86" s="83"/>
      <c r="P86" s="83"/>
      <c r="Q86" s="83"/>
      <c r="R86" s="83"/>
      <c r="S86" s="83"/>
      <c r="T86" s="83"/>
      <c r="U86" s="83"/>
      <c r="V86" s="83"/>
      <c r="W86" s="83"/>
      <c r="X86" s="83"/>
      <c r="Y86" s="83"/>
      <c r="Z86" s="114"/>
      <c r="AA86" s="115" t="str">
        <f t="shared" si="6"/>
        <v/>
      </c>
      <c r="AB86" s="115">
        <f t="shared" si="7"/>
        <v>0</v>
      </c>
      <c r="AC86" s="115">
        <f t="shared" si="8"/>
        <v>0</v>
      </c>
      <c r="AD86" s="115">
        <f t="shared" si="9"/>
        <v>0</v>
      </c>
    </row>
    <row r="87">
      <c r="A87" s="101"/>
      <c r="B87" s="121"/>
      <c r="C87" s="122"/>
      <c r="D87" s="103" t="str">
        <f t="shared" si="1"/>
        <v/>
      </c>
      <c r="E87" s="103" t="str">
        <f t="shared" si="2"/>
        <v/>
      </c>
      <c r="F87" s="103" t="str">
        <f t="shared" si="3"/>
        <v/>
      </c>
      <c r="G87" s="122"/>
      <c r="H87" s="103">
        <f t="shared" si="4"/>
        <v>0</v>
      </c>
      <c r="I87" s="108">
        <f t="shared" si="5"/>
        <v>0</v>
      </c>
      <c r="J87" s="114"/>
      <c r="K87" s="83"/>
      <c r="L87" s="83"/>
      <c r="M87" s="83"/>
      <c r="N87" s="83"/>
      <c r="O87" s="83"/>
      <c r="P87" s="83"/>
      <c r="Q87" s="83"/>
      <c r="R87" s="83"/>
      <c r="S87" s="83"/>
      <c r="T87" s="83"/>
      <c r="U87" s="83"/>
      <c r="V87" s="83"/>
      <c r="W87" s="83"/>
      <c r="X87" s="83"/>
      <c r="Y87" s="83"/>
      <c r="Z87" s="114"/>
      <c r="AA87" s="115" t="str">
        <f t="shared" si="6"/>
        <v/>
      </c>
      <c r="AB87" s="115">
        <f t="shared" si="7"/>
        <v>0</v>
      </c>
      <c r="AC87" s="115">
        <f t="shared" si="8"/>
        <v>0</v>
      </c>
      <c r="AD87" s="115">
        <f t="shared" si="9"/>
        <v>0</v>
      </c>
    </row>
    <row r="88">
      <c r="A88" s="101"/>
      <c r="B88" s="121"/>
      <c r="C88" s="122"/>
      <c r="D88" s="103" t="str">
        <f t="shared" si="1"/>
        <v/>
      </c>
      <c r="E88" s="103" t="str">
        <f t="shared" si="2"/>
        <v/>
      </c>
      <c r="F88" s="103" t="str">
        <f t="shared" si="3"/>
        <v/>
      </c>
      <c r="G88" s="122"/>
      <c r="H88" s="103">
        <f t="shared" si="4"/>
        <v>0</v>
      </c>
      <c r="I88" s="108">
        <f t="shared" si="5"/>
        <v>0</v>
      </c>
      <c r="J88" s="114"/>
      <c r="K88" s="83"/>
      <c r="L88" s="83"/>
      <c r="M88" s="83"/>
      <c r="N88" s="83"/>
      <c r="O88" s="83"/>
      <c r="P88" s="83"/>
      <c r="Q88" s="83"/>
      <c r="R88" s="83"/>
      <c r="S88" s="83"/>
      <c r="T88" s="83"/>
      <c r="U88" s="83"/>
      <c r="V88" s="83"/>
      <c r="W88" s="83"/>
      <c r="X88" s="83"/>
      <c r="Y88" s="83"/>
      <c r="Z88" s="114"/>
      <c r="AA88" s="115" t="str">
        <f t="shared" si="6"/>
        <v/>
      </c>
      <c r="AB88" s="115">
        <f t="shared" si="7"/>
        <v>0</v>
      </c>
      <c r="AC88" s="115">
        <f t="shared" si="8"/>
        <v>0</v>
      </c>
      <c r="AD88" s="115">
        <f t="shared" si="9"/>
        <v>0</v>
      </c>
    </row>
    <row r="89">
      <c r="A89" s="101"/>
      <c r="B89" s="121"/>
      <c r="C89" s="122"/>
      <c r="D89" s="103" t="str">
        <f t="shared" si="1"/>
        <v/>
      </c>
      <c r="E89" s="103" t="str">
        <f t="shared" si="2"/>
        <v/>
      </c>
      <c r="F89" s="103" t="str">
        <f t="shared" si="3"/>
        <v/>
      </c>
      <c r="G89" s="122"/>
      <c r="H89" s="103">
        <f t="shared" si="4"/>
        <v>0</v>
      </c>
      <c r="I89" s="108">
        <f t="shared" si="5"/>
        <v>0</v>
      </c>
      <c r="J89" s="114"/>
      <c r="K89" s="83"/>
      <c r="L89" s="83"/>
      <c r="M89" s="83"/>
      <c r="N89" s="83"/>
      <c r="O89" s="83"/>
      <c r="P89" s="83"/>
      <c r="Q89" s="83"/>
      <c r="R89" s="83"/>
      <c r="S89" s="83"/>
      <c r="T89" s="83"/>
      <c r="U89" s="83"/>
      <c r="V89" s="83"/>
      <c r="W89" s="83"/>
      <c r="X89" s="83"/>
      <c r="Y89" s="83"/>
      <c r="Z89" s="114"/>
      <c r="AA89" s="115" t="str">
        <f t="shared" si="6"/>
        <v/>
      </c>
      <c r="AB89" s="115">
        <f t="shared" si="7"/>
        <v>0</v>
      </c>
      <c r="AC89" s="115">
        <f t="shared" si="8"/>
        <v>0</v>
      </c>
      <c r="AD89" s="115">
        <f t="shared" si="9"/>
        <v>0</v>
      </c>
    </row>
    <row r="90">
      <c r="A90" s="101"/>
      <c r="B90" s="121"/>
      <c r="C90" s="122"/>
      <c r="D90" s="103" t="str">
        <f t="shared" si="1"/>
        <v/>
      </c>
      <c r="E90" s="103" t="str">
        <f t="shared" si="2"/>
        <v/>
      </c>
      <c r="F90" s="103" t="str">
        <f t="shared" si="3"/>
        <v/>
      </c>
      <c r="G90" s="122"/>
      <c r="H90" s="103">
        <f t="shared" si="4"/>
        <v>0</v>
      </c>
      <c r="I90" s="108">
        <f t="shared" si="5"/>
        <v>0</v>
      </c>
      <c r="J90" s="114"/>
      <c r="K90" s="83"/>
      <c r="L90" s="83"/>
      <c r="M90" s="83"/>
      <c r="N90" s="83"/>
      <c r="O90" s="83"/>
      <c r="P90" s="83"/>
      <c r="Q90" s="83"/>
      <c r="R90" s="83"/>
      <c r="S90" s="83"/>
      <c r="T90" s="83"/>
      <c r="U90" s="83"/>
      <c r="V90" s="83"/>
      <c r="W90" s="83"/>
      <c r="X90" s="83"/>
      <c r="Y90" s="83"/>
      <c r="Z90" s="114"/>
      <c r="AA90" s="115" t="str">
        <f t="shared" si="6"/>
        <v/>
      </c>
      <c r="AB90" s="115">
        <f t="shared" si="7"/>
        <v>0</v>
      </c>
      <c r="AC90" s="115">
        <f t="shared" si="8"/>
        <v>0</v>
      </c>
      <c r="AD90" s="115">
        <f t="shared" si="9"/>
        <v>0</v>
      </c>
    </row>
    <row r="91">
      <c r="A91" s="101"/>
      <c r="B91" s="121"/>
      <c r="C91" s="122"/>
      <c r="D91" s="103" t="str">
        <f t="shared" si="1"/>
        <v/>
      </c>
      <c r="E91" s="103" t="str">
        <f t="shared" si="2"/>
        <v/>
      </c>
      <c r="F91" s="103" t="str">
        <f t="shared" si="3"/>
        <v/>
      </c>
      <c r="G91" s="122"/>
      <c r="H91" s="103">
        <f t="shared" si="4"/>
        <v>0</v>
      </c>
      <c r="I91" s="108">
        <f t="shared" si="5"/>
        <v>0</v>
      </c>
      <c r="J91" s="114"/>
      <c r="K91" s="83"/>
      <c r="L91" s="83"/>
      <c r="M91" s="83"/>
      <c r="N91" s="83"/>
      <c r="O91" s="83"/>
      <c r="P91" s="83"/>
      <c r="Q91" s="83"/>
      <c r="R91" s="83"/>
      <c r="S91" s="83"/>
      <c r="T91" s="83"/>
      <c r="U91" s="83"/>
      <c r="V91" s="83"/>
      <c r="W91" s="83"/>
      <c r="X91" s="83"/>
      <c r="Y91" s="83"/>
      <c r="Z91" s="114"/>
      <c r="AA91" s="115" t="str">
        <f t="shared" si="6"/>
        <v/>
      </c>
      <c r="AB91" s="115">
        <f t="shared" si="7"/>
        <v>0</v>
      </c>
      <c r="AC91" s="115">
        <f t="shared" si="8"/>
        <v>0</v>
      </c>
      <c r="AD91" s="115">
        <f t="shared" si="9"/>
        <v>0</v>
      </c>
    </row>
    <row r="92">
      <c r="A92" s="101"/>
      <c r="B92" s="121"/>
      <c r="C92" s="122"/>
      <c r="D92" s="103" t="str">
        <f t="shared" si="1"/>
        <v/>
      </c>
      <c r="E92" s="103" t="str">
        <f t="shared" si="2"/>
        <v/>
      </c>
      <c r="F92" s="103" t="str">
        <f t="shared" si="3"/>
        <v/>
      </c>
      <c r="G92" s="122"/>
      <c r="H92" s="103">
        <f t="shared" si="4"/>
        <v>0</v>
      </c>
      <c r="I92" s="108">
        <f t="shared" si="5"/>
        <v>0</v>
      </c>
      <c r="J92" s="114"/>
      <c r="K92" s="83"/>
      <c r="L92" s="83"/>
      <c r="M92" s="83"/>
      <c r="N92" s="83"/>
      <c r="O92" s="83"/>
      <c r="P92" s="83"/>
      <c r="Q92" s="83"/>
      <c r="R92" s="83"/>
      <c r="S92" s="83"/>
      <c r="T92" s="83"/>
      <c r="U92" s="83"/>
      <c r="V92" s="83"/>
      <c r="W92" s="83"/>
      <c r="X92" s="83"/>
      <c r="Y92" s="83"/>
      <c r="Z92" s="114"/>
      <c r="AA92" s="115" t="str">
        <f t="shared" si="6"/>
        <v/>
      </c>
      <c r="AB92" s="115">
        <f t="shared" si="7"/>
        <v>0</v>
      </c>
      <c r="AC92" s="115">
        <f t="shared" si="8"/>
        <v>0</v>
      </c>
      <c r="AD92" s="115">
        <f t="shared" si="9"/>
        <v>0</v>
      </c>
    </row>
    <row r="93">
      <c r="A93" s="101"/>
      <c r="B93" s="121"/>
      <c r="C93" s="122"/>
      <c r="D93" s="103" t="str">
        <f t="shared" si="1"/>
        <v/>
      </c>
      <c r="E93" s="103" t="str">
        <f t="shared" si="2"/>
        <v/>
      </c>
      <c r="F93" s="103" t="str">
        <f t="shared" si="3"/>
        <v/>
      </c>
      <c r="G93" s="122"/>
      <c r="H93" s="103">
        <f t="shared" si="4"/>
        <v>0</v>
      </c>
      <c r="I93" s="108">
        <f t="shared" si="5"/>
        <v>0</v>
      </c>
      <c r="J93" s="114"/>
      <c r="K93" s="83"/>
      <c r="L93" s="83"/>
      <c r="M93" s="83"/>
      <c r="N93" s="83"/>
      <c r="O93" s="83"/>
      <c r="P93" s="83"/>
      <c r="Q93" s="83"/>
      <c r="R93" s="83"/>
      <c r="S93" s="83"/>
      <c r="T93" s="83"/>
      <c r="U93" s="83"/>
      <c r="V93" s="83"/>
      <c r="W93" s="83"/>
      <c r="X93" s="83"/>
      <c r="Y93" s="83"/>
      <c r="Z93" s="114"/>
      <c r="AA93" s="115" t="str">
        <f t="shared" si="6"/>
        <v/>
      </c>
      <c r="AB93" s="115">
        <f t="shared" si="7"/>
        <v>0</v>
      </c>
      <c r="AC93" s="115">
        <f t="shared" si="8"/>
        <v>0</v>
      </c>
      <c r="AD93" s="115">
        <f t="shared" si="9"/>
        <v>0</v>
      </c>
    </row>
    <row r="94">
      <c r="A94" s="101"/>
      <c r="B94" s="121"/>
      <c r="C94" s="122"/>
      <c r="D94" s="103" t="str">
        <f t="shared" si="1"/>
        <v/>
      </c>
      <c r="E94" s="103" t="str">
        <f t="shared" si="2"/>
        <v/>
      </c>
      <c r="F94" s="103" t="str">
        <f t="shared" si="3"/>
        <v/>
      </c>
      <c r="G94" s="122"/>
      <c r="H94" s="103">
        <f t="shared" si="4"/>
        <v>0</v>
      </c>
      <c r="I94" s="108">
        <f t="shared" si="5"/>
        <v>0</v>
      </c>
      <c r="J94" s="114"/>
      <c r="K94" s="83"/>
      <c r="L94" s="83"/>
      <c r="M94" s="83"/>
      <c r="N94" s="83"/>
      <c r="O94" s="83"/>
      <c r="P94" s="83"/>
      <c r="Q94" s="83"/>
      <c r="R94" s="83"/>
      <c r="S94" s="83"/>
      <c r="T94" s="83"/>
      <c r="U94" s="83"/>
      <c r="V94" s="83"/>
      <c r="W94" s="83"/>
      <c r="X94" s="83"/>
      <c r="Y94" s="83"/>
      <c r="Z94" s="114"/>
      <c r="AA94" s="115" t="str">
        <f t="shared" si="6"/>
        <v/>
      </c>
      <c r="AB94" s="115">
        <f t="shared" si="7"/>
        <v>0</v>
      </c>
      <c r="AC94" s="115">
        <f t="shared" si="8"/>
        <v>0</v>
      </c>
      <c r="AD94" s="115">
        <f t="shared" si="9"/>
        <v>0</v>
      </c>
    </row>
    <row r="95">
      <c r="A95" s="101"/>
      <c r="B95" s="121"/>
      <c r="C95" s="122"/>
      <c r="D95" s="103" t="str">
        <f t="shared" si="1"/>
        <v/>
      </c>
      <c r="E95" s="103" t="str">
        <f t="shared" si="2"/>
        <v/>
      </c>
      <c r="F95" s="103" t="str">
        <f t="shared" si="3"/>
        <v/>
      </c>
      <c r="G95" s="122"/>
      <c r="H95" s="103">
        <f t="shared" si="4"/>
        <v>0</v>
      </c>
      <c r="I95" s="108">
        <f t="shared" si="5"/>
        <v>0</v>
      </c>
      <c r="J95" s="114"/>
      <c r="K95" s="83"/>
      <c r="L95" s="83"/>
      <c r="M95" s="83"/>
      <c r="N95" s="83"/>
      <c r="O95" s="83"/>
      <c r="P95" s="83"/>
      <c r="Q95" s="83"/>
      <c r="R95" s="83"/>
      <c r="S95" s="83"/>
      <c r="T95" s="83"/>
      <c r="U95" s="83"/>
      <c r="V95" s="83"/>
      <c r="W95" s="83"/>
      <c r="X95" s="83"/>
      <c r="Y95" s="83"/>
      <c r="Z95" s="114"/>
      <c r="AA95" s="115" t="str">
        <f t="shared" si="6"/>
        <v/>
      </c>
      <c r="AB95" s="115">
        <f t="shared" si="7"/>
        <v>0</v>
      </c>
      <c r="AC95" s="115">
        <f t="shared" si="8"/>
        <v>0</v>
      </c>
      <c r="AD95" s="115">
        <f t="shared" si="9"/>
        <v>0</v>
      </c>
    </row>
    <row r="96">
      <c r="A96" s="101"/>
      <c r="B96" s="121"/>
      <c r="C96" s="122"/>
      <c r="D96" s="103" t="str">
        <f t="shared" si="1"/>
        <v/>
      </c>
      <c r="E96" s="103" t="str">
        <f t="shared" si="2"/>
        <v/>
      </c>
      <c r="F96" s="103" t="str">
        <f t="shared" si="3"/>
        <v/>
      </c>
      <c r="G96" s="122"/>
      <c r="H96" s="103">
        <f t="shared" si="4"/>
        <v>0</v>
      </c>
      <c r="I96" s="108">
        <f t="shared" si="5"/>
        <v>0</v>
      </c>
      <c r="J96" s="114"/>
      <c r="K96" s="83"/>
      <c r="L96" s="83"/>
      <c r="M96" s="83"/>
      <c r="N96" s="83"/>
      <c r="O96" s="83"/>
      <c r="P96" s="83"/>
      <c r="Q96" s="83"/>
      <c r="R96" s="83"/>
      <c r="S96" s="83"/>
      <c r="T96" s="83"/>
      <c r="U96" s="83"/>
      <c r="V96" s="83"/>
      <c r="W96" s="83"/>
      <c r="X96" s="83"/>
      <c r="Y96" s="83"/>
      <c r="Z96" s="114"/>
      <c r="AA96" s="115" t="str">
        <f t="shared" si="6"/>
        <v/>
      </c>
      <c r="AB96" s="115">
        <f t="shared" si="7"/>
        <v>0</v>
      </c>
      <c r="AC96" s="115">
        <f t="shared" si="8"/>
        <v>0</v>
      </c>
      <c r="AD96" s="115">
        <f t="shared" si="9"/>
        <v>0</v>
      </c>
    </row>
    <row r="97">
      <c r="A97" s="101"/>
      <c r="B97" s="121"/>
      <c r="C97" s="122"/>
      <c r="D97" s="103" t="str">
        <f t="shared" si="1"/>
        <v/>
      </c>
      <c r="E97" s="103" t="str">
        <f t="shared" si="2"/>
        <v/>
      </c>
      <c r="F97" s="103" t="str">
        <f t="shared" si="3"/>
        <v/>
      </c>
      <c r="G97" s="122"/>
      <c r="H97" s="103">
        <f t="shared" si="4"/>
        <v>0</v>
      </c>
      <c r="I97" s="108">
        <f t="shared" si="5"/>
        <v>0</v>
      </c>
      <c r="J97" s="114"/>
      <c r="K97" s="83"/>
      <c r="L97" s="83"/>
      <c r="M97" s="83"/>
      <c r="N97" s="83"/>
      <c r="O97" s="83"/>
      <c r="P97" s="83"/>
      <c r="Q97" s="83"/>
      <c r="R97" s="83"/>
      <c r="S97" s="83"/>
      <c r="T97" s="83"/>
      <c r="U97" s="83"/>
      <c r="V97" s="83"/>
      <c r="W97" s="83"/>
      <c r="X97" s="83"/>
      <c r="Y97" s="83"/>
      <c r="Z97" s="114"/>
      <c r="AA97" s="115" t="str">
        <f t="shared" si="6"/>
        <v/>
      </c>
      <c r="AB97" s="115">
        <f t="shared" si="7"/>
        <v>0</v>
      </c>
      <c r="AC97" s="115">
        <f t="shared" si="8"/>
        <v>0</v>
      </c>
      <c r="AD97" s="115">
        <f t="shared" si="9"/>
        <v>0</v>
      </c>
    </row>
    <row r="98">
      <c r="A98" s="101"/>
      <c r="B98" s="121"/>
      <c r="C98" s="122"/>
      <c r="D98" s="103" t="str">
        <f t="shared" si="1"/>
        <v/>
      </c>
      <c r="E98" s="103" t="str">
        <f t="shared" si="2"/>
        <v/>
      </c>
      <c r="F98" s="103" t="str">
        <f t="shared" si="3"/>
        <v/>
      </c>
      <c r="G98" s="122"/>
      <c r="H98" s="103">
        <f t="shared" si="4"/>
        <v>0</v>
      </c>
      <c r="I98" s="108">
        <f t="shared" si="5"/>
        <v>0</v>
      </c>
      <c r="J98" s="114"/>
      <c r="K98" s="83"/>
      <c r="L98" s="83"/>
      <c r="M98" s="83"/>
      <c r="N98" s="83"/>
      <c r="O98" s="83"/>
      <c r="P98" s="83"/>
      <c r="Q98" s="83"/>
      <c r="R98" s="83"/>
      <c r="S98" s="83"/>
      <c r="T98" s="83"/>
      <c r="U98" s="83"/>
      <c r="V98" s="83"/>
      <c r="W98" s="83"/>
      <c r="X98" s="83"/>
      <c r="Y98" s="83"/>
      <c r="Z98" s="114"/>
      <c r="AA98" s="115" t="str">
        <f t="shared" si="6"/>
        <v/>
      </c>
      <c r="AB98" s="115">
        <f t="shared" si="7"/>
        <v>0</v>
      </c>
      <c r="AC98" s="115">
        <f t="shared" si="8"/>
        <v>0</v>
      </c>
      <c r="AD98" s="115">
        <f t="shared" si="9"/>
        <v>0</v>
      </c>
    </row>
    <row r="99">
      <c r="A99" s="101"/>
      <c r="B99" s="121"/>
      <c r="C99" s="122"/>
      <c r="D99" s="103" t="str">
        <f t="shared" si="1"/>
        <v/>
      </c>
      <c r="E99" s="103" t="str">
        <f t="shared" si="2"/>
        <v/>
      </c>
      <c r="F99" s="103" t="str">
        <f t="shared" si="3"/>
        <v/>
      </c>
      <c r="G99" s="122"/>
      <c r="H99" s="103">
        <f t="shared" si="4"/>
        <v>0</v>
      </c>
      <c r="I99" s="108">
        <f t="shared" si="5"/>
        <v>0</v>
      </c>
      <c r="J99" s="114"/>
      <c r="K99" s="83"/>
      <c r="L99" s="83"/>
      <c r="M99" s="83"/>
      <c r="N99" s="83"/>
      <c r="O99" s="83"/>
      <c r="P99" s="83"/>
      <c r="Q99" s="83"/>
      <c r="R99" s="83"/>
      <c r="S99" s="83"/>
      <c r="T99" s="83"/>
      <c r="U99" s="83"/>
      <c r="V99" s="83"/>
      <c r="W99" s="83"/>
      <c r="X99" s="83"/>
      <c r="Y99" s="83"/>
      <c r="Z99" s="114"/>
      <c r="AA99" s="115" t="str">
        <f t="shared" si="6"/>
        <v/>
      </c>
      <c r="AB99" s="115">
        <f t="shared" si="7"/>
        <v>0</v>
      </c>
      <c r="AC99" s="115">
        <f t="shared" si="8"/>
        <v>0</v>
      </c>
      <c r="AD99" s="115">
        <f t="shared" si="9"/>
        <v>0</v>
      </c>
    </row>
    <row r="100">
      <c r="A100" s="101"/>
      <c r="B100" s="121"/>
      <c r="C100" s="122"/>
      <c r="D100" s="103" t="str">
        <f t="shared" si="1"/>
        <v/>
      </c>
      <c r="E100" s="103" t="str">
        <f t="shared" si="2"/>
        <v/>
      </c>
      <c r="F100" s="103" t="str">
        <f t="shared" si="3"/>
        <v/>
      </c>
      <c r="G100" s="122"/>
      <c r="H100" s="103">
        <f t="shared" si="4"/>
        <v>0</v>
      </c>
      <c r="I100" s="108">
        <f t="shared" si="5"/>
        <v>0</v>
      </c>
      <c r="J100" s="114"/>
      <c r="K100" s="83"/>
      <c r="L100" s="83"/>
      <c r="M100" s="83"/>
      <c r="N100" s="83"/>
      <c r="O100" s="83"/>
      <c r="P100" s="83"/>
      <c r="Q100" s="83"/>
      <c r="R100" s="83"/>
      <c r="S100" s="83"/>
      <c r="T100" s="83"/>
      <c r="U100" s="83"/>
      <c r="V100" s="83"/>
      <c r="W100" s="83"/>
      <c r="X100" s="83"/>
      <c r="Y100" s="83"/>
      <c r="Z100" s="114"/>
      <c r="AA100" s="115" t="str">
        <f t="shared" si="6"/>
        <v/>
      </c>
      <c r="AB100" s="115">
        <f t="shared" si="7"/>
        <v>0</v>
      </c>
      <c r="AC100" s="115">
        <f t="shared" si="8"/>
        <v>0</v>
      </c>
      <c r="AD100" s="115">
        <f t="shared" si="9"/>
        <v>0</v>
      </c>
    </row>
    <row r="101">
      <c r="A101" s="101"/>
      <c r="B101" s="121"/>
      <c r="C101" s="122"/>
      <c r="D101" s="103" t="str">
        <f t="shared" si="1"/>
        <v/>
      </c>
      <c r="E101" s="103" t="str">
        <f t="shared" si="2"/>
        <v/>
      </c>
      <c r="F101" s="103" t="str">
        <f t="shared" si="3"/>
        <v/>
      </c>
      <c r="G101" s="122"/>
      <c r="H101" s="103">
        <f t="shared" si="4"/>
        <v>0</v>
      </c>
      <c r="I101" s="108">
        <f t="shared" si="5"/>
        <v>0</v>
      </c>
      <c r="J101" s="114"/>
      <c r="K101" s="83"/>
      <c r="L101" s="83"/>
      <c r="M101" s="83"/>
      <c r="N101" s="83"/>
      <c r="O101" s="83"/>
      <c r="P101" s="83"/>
      <c r="Q101" s="83"/>
      <c r="R101" s="83"/>
      <c r="S101" s="83"/>
      <c r="T101" s="83"/>
      <c r="U101" s="83"/>
      <c r="V101" s="83"/>
      <c r="W101" s="83"/>
      <c r="X101" s="83"/>
      <c r="Y101" s="83"/>
      <c r="Z101" s="114"/>
      <c r="AA101" s="115" t="str">
        <f t="shared" si="6"/>
        <v/>
      </c>
      <c r="AB101" s="115">
        <f t="shared" si="7"/>
        <v>0</v>
      </c>
      <c r="AC101" s="115">
        <f t="shared" si="8"/>
        <v>0</v>
      </c>
      <c r="AD101" s="115">
        <f t="shared" si="9"/>
        <v>0</v>
      </c>
    </row>
    <row r="102">
      <c r="A102" s="101"/>
      <c r="B102" s="121"/>
      <c r="C102" s="122"/>
      <c r="D102" s="103" t="str">
        <f t="shared" si="1"/>
        <v/>
      </c>
      <c r="E102" s="103" t="str">
        <f t="shared" si="2"/>
        <v/>
      </c>
      <c r="F102" s="103" t="str">
        <f t="shared" si="3"/>
        <v/>
      </c>
      <c r="G102" s="122"/>
      <c r="H102" s="103">
        <f t="shared" si="4"/>
        <v>0</v>
      </c>
      <c r="I102" s="108">
        <f t="shared" si="5"/>
        <v>0</v>
      </c>
      <c r="J102" s="114"/>
      <c r="K102" s="83"/>
      <c r="L102" s="83"/>
      <c r="M102" s="83"/>
      <c r="N102" s="83"/>
      <c r="O102" s="83"/>
      <c r="P102" s="83"/>
      <c r="Q102" s="83"/>
      <c r="R102" s="83"/>
      <c r="S102" s="83"/>
      <c r="T102" s="83"/>
      <c r="U102" s="83"/>
      <c r="V102" s="83"/>
      <c r="W102" s="83"/>
      <c r="X102" s="83"/>
      <c r="Y102" s="83"/>
      <c r="Z102" s="114"/>
      <c r="AA102" s="115" t="str">
        <f t="shared" si="6"/>
        <v/>
      </c>
      <c r="AB102" s="115">
        <f t="shared" si="7"/>
        <v>0</v>
      </c>
      <c r="AC102" s="115">
        <f t="shared" si="8"/>
        <v>0</v>
      </c>
      <c r="AD102" s="115">
        <f t="shared" si="9"/>
        <v>0</v>
      </c>
    </row>
    <row r="103">
      <c r="A103" s="101"/>
      <c r="B103" s="121"/>
      <c r="C103" s="122"/>
      <c r="D103" s="103" t="str">
        <f t="shared" si="1"/>
        <v/>
      </c>
      <c r="E103" s="103" t="str">
        <f t="shared" si="2"/>
        <v/>
      </c>
      <c r="F103" s="103" t="str">
        <f t="shared" si="3"/>
        <v/>
      </c>
      <c r="G103" s="122"/>
      <c r="H103" s="103">
        <f t="shared" si="4"/>
        <v>0</v>
      </c>
      <c r="I103" s="108">
        <f t="shared" si="5"/>
        <v>0</v>
      </c>
      <c r="J103" s="114"/>
      <c r="K103" s="83"/>
      <c r="L103" s="83"/>
      <c r="M103" s="83"/>
      <c r="N103" s="83"/>
      <c r="O103" s="83"/>
      <c r="P103" s="83"/>
      <c r="Q103" s="83"/>
      <c r="R103" s="83"/>
      <c r="S103" s="83"/>
      <c r="T103" s="83"/>
      <c r="U103" s="83"/>
      <c r="V103" s="83"/>
      <c r="W103" s="83"/>
      <c r="X103" s="83"/>
      <c r="Y103" s="83"/>
      <c r="Z103" s="114"/>
      <c r="AA103" s="115" t="str">
        <f t="shared" si="6"/>
        <v/>
      </c>
      <c r="AB103" s="115">
        <f t="shared" si="7"/>
        <v>0</v>
      </c>
      <c r="AC103" s="115">
        <f t="shared" si="8"/>
        <v>0</v>
      </c>
      <c r="AD103" s="115">
        <f t="shared" si="9"/>
        <v>0</v>
      </c>
    </row>
    <row r="104">
      <c r="A104" s="101"/>
      <c r="B104" s="121"/>
      <c r="C104" s="122"/>
      <c r="D104" s="103" t="str">
        <f t="shared" si="1"/>
        <v/>
      </c>
      <c r="E104" s="103" t="str">
        <f t="shared" si="2"/>
        <v/>
      </c>
      <c r="F104" s="103" t="str">
        <f t="shared" si="3"/>
        <v/>
      </c>
      <c r="G104" s="122"/>
      <c r="H104" s="103">
        <f t="shared" si="4"/>
        <v>0</v>
      </c>
      <c r="I104" s="108">
        <f t="shared" si="5"/>
        <v>0</v>
      </c>
      <c r="J104" s="114"/>
      <c r="K104" s="83"/>
      <c r="L104" s="83"/>
      <c r="M104" s="83"/>
      <c r="N104" s="83"/>
      <c r="O104" s="83"/>
      <c r="P104" s="83"/>
      <c r="Q104" s="83"/>
      <c r="R104" s="83"/>
      <c r="S104" s="83"/>
      <c r="T104" s="83"/>
      <c r="U104" s="83"/>
      <c r="V104" s="83"/>
      <c r="W104" s="83"/>
      <c r="X104" s="83"/>
      <c r="Y104" s="83"/>
      <c r="Z104" s="114"/>
      <c r="AA104" s="115" t="str">
        <f t="shared" si="6"/>
        <v/>
      </c>
      <c r="AB104" s="115">
        <f t="shared" si="7"/>
        <v>0</v>
      </c>
      <c r="AC104" s="115">
        <f t="shared" si="8"/>
        <v>0</v>
      </c>
      <c r="AD104" s="115">
        <f t="shared" si="9"/>
        <v>0</v>
      </c>
    </row>
    <row r="105">
      <c r="A105" s="101"/>
      <c r="B105" s="121"/>
      <c r="C105" s="122"/>
      <c r="D105" s="103" t="str">
        <f t="shared" si="1"/>
        <v/>
      </c>
      <c r="E105" s="103" t="str">
        <f t="shared" si="2"/>
        <v/>
      </c>
      <c r="F105" s="103" t="str">
        <f t="shared" si="3"/>
        <v/>
      </c>
      <c r="G105" s="122"/>
      <c r="H105" s="103">
        <f t="shared" si="4"/>
        <v>0</v>
      </c>
      <c r="I105" s="108">
        <f t="shared" si="5"/>
        <v>0</v>
      </c>
      <c r="J105" s="114"/>
      <c r="K105" s="83"/>
      <c r="L105" s="83"/>
      <c r="M105" s="83"/>
      <c r="N105" s="83"/>
      <c r="O105" s="83"/>
      <c r="P105" s="83"/>
      <c r="Q105" s="83"/>
      <c r="R105" s="83"/>
      <c r="S105" s="83"/>
      <c r="T105" s="83"/>
      <c r="U105" s="83"/>
      <c r="V105" s="83"/>
      <c r="W105" s="83"/>
      <c r="X105" s="83"/>
      <c r="Y105" s="83"/>
      <c r="Z105" s="114"/>
      <c r="AA105" s="115" t="str">
        <f t="shared" si="6"/>
        <v/>
      </c>
      <c r="AB105" s="115">
        <f t="shared" si="7"/>
        <v>0</v>
      </c>
      <c r="AC105" s="115">
        <f t="shared" si="8"/>
        <v>0</v>
      </c>
      <c r="AD105" s="115">
        <f t="shared" si="9"/>
        <v>0</v>
      </c>
    </row>
    <row r="106">
      <c r="A106" s="101"/>
      <c r="B106" s="121"/>
      <c r="C106" s="122"/>
      <c r="D106" s="103" t="str">
        <f t="shared" si="1"/>
        <v/>
      </c>
      <c r="E106" s="103" t="str">
        <f t="shared" si="2"/>
        <v/>
      </c>
      <c r="F106" s="103" t="str">
        <f t="shared" si="3"/>
        <v/>
      </c>
      <c r="G106" s="122"/>
      <c r="H106" s="103">
        <f t="shared" si="4"/>
        <v>0</v>
      </c>
      <c r="I106" s="108">
        <f t="shared" si="5"/>
        <v>0</v>
      </c>
      <c r="J106" s="114"/>
      <c r="K106" s="83"/>
      <c r="L106" s="83"/>
      <c r="M106" s="83"/>
      <c r="N106" s="83"/>
      <c r="O106" s="83"/>
      <c r="P106" s="83"/>
      <c r="Q106" s="83"/>
      <c r="R106" s="83"/>
      <c r="S106" s="83"/>
      <c r="T106" s="83"/>
      <c r="U106" s="83"/>
      <c r="V106" s="83"/>
      <c r="W106" s="83"/>
      <c r="X106" s="83"/>
      <c r="Y106" s="83"/>
      <c r="Z106" s="114"/>
      <c r="AA106" s="115" t="str">
        <f t="shared" si="6"/>
        <v/>
      </c>
      <c r="AB106" s="115">
        <f t="shared" si="7"/>
        <v>0</v>
      </c>
      <c r="AC106" s="115">
        <f t="shared" si="8"/>
        <v>0</v>
      </c>
      <c r="AD106" s="115">
        <f t="shared" si="9"/>
        <v>0</v>
      </c>
    </row>
    <row r="107">
      <c r="A107" s="101"/>
      <c r="B107" s="121"/>
      <c r="C107" s="122"/>
      <c r="D107" s="103" t="str">
        <f t="shared" si="1"/>
        <v/>
      </c>
      <c r="E107" s="103" t="str">
        <f t="shared" si="2"/>
        <v/>
      </c>
      <c r="F107" s="103" t="str">
        <f t="shared" si="3"/>
        <v/>
      </c>
      <c r="G107" s="122"/>
      <c r="H107" s="103">
        <f t="shared" si="4"/>
        <v>0</v>
      </c>
      <c r="I107" s="108">
        <f t="shared" si="5"/>
        <v>0</v>
      </c>
      <c r="J107" s="114"/>
      <c r="K107" s="83"/>
      <c r="L107" s="83"/>
      <c r="M107" s="83"/>
      <c r="N107" s="83"/>
      <c r="O107" s="83"/>
      <c r="P107" s="83"/>
      <c r="Q107" s="83"/>
      <c r="R107" s="83"/>
      <c r="S107" s="83"/>
      <c r="T107" s="83"/>
      <c r="U107" s="83"/>
      <c r="V107" s="83"/>
      <c r="W107" s="83"/>
      <c r="X107" s="83"/>
      <c r="Y107" s="83"/>
      <c r="Z107" s="114"/>
      <c r="AA107" s="115" t="str">
        <f t="shared" si="6"/>
        <v/>
      </c>
      <c r="AB107" s="115">
        <f t="shared" si="7"/>
        <v>0</v>
      </c>
      <c r="AC107" s="115">
        <f t="shared" si="8"/>
        <v>0</v>
      </c>
      <c r="AD107" s="115">
        <f t="shared" si="9"/>
        <v>0</v>
      </c>
    </row>
    <row r="108">
      <c r="A108" s="101"/>
      <c r="B108" s="121"/>
      <c r="C108" s="122"/>
      <c r="D108" s="103" t="str">
        <f t="shared" si="1"/>
        <v/>
      </c>
      <c r="E108" s="103" t="str">
        <f t="shared" si="2"/>
        <v/>
      </c>
      <c r="F108" s="103" t="str">
        <f t="shared" si="3"/>
        <v/>
      </c>
      <c r="G108" s="122"/>
      <c r="H108" s="103">
        <f t="shared" si="4"/>
        <v>0</v>
      </c>
      <c r="I108" s="108">
        <f t="shared" si="5"/>
        <v>0</v>
      </c>
      <c r="J108" s="114"/>
      <c r="K108" s="83"/>
      <c r="L108" s="83"/>
      <c r="M108" s="83"/>
      <c r="N108" s="83"/>
      <c r="O108" s="83"/>
      <c r="P108" s="83"/>
      <c r="Q108" s="83"/>
      <c r="R108" s="83"/>
      <c r="S108" s="83"/>
      <c r="T108" s="83"/>
      <c r="U108" s="83"/>
      <c r="V108" s="83"/>
      <c r="W108" s="83"/>
      <c r="X108" s="83"/>
      <c r="Y108" s="83"/>
      <c r="Z108" s="114"/>
      <c r="AA108" s="115" t="str">
        <f t="shared" si="6"/>
        <v/>
      </c>
      <c r="AB108" s="115">
        <f t="shared" si="7"/>
        <v>0</v>
      </c>
      <c r="AC108" s="115">
        <f t="shared" si="8"/>
        <v>0</v>
      </c>
      <c r="AD108" s="115">
        <f t="shared" si="9"/>
        <v>0</v>
      </c>
    </row>
    <row r="109">
      <c r="A109" s="101"/>
      <c r="B109" s="121"/>
      <c r="C109" s="122"/>
      <c r="D109" s="103" t="str">
        <f t="shared" si="1"/>
        <v/>
      </c>
      <c r="E109" s="103" t="str">
        <f t="shared" si="2"/>
        <v/>
      </c>
      <c r="F109" s="103" t="str">
        <f t="shared" si="3"/>
        <v/>
      </c>
      <c r="G109" s="122"/>
      <c r="H109" s="103">
        <f t="shared" si="4"/>
        <v>0</v>
      </c>
      <c r="I109" s="108">
        <f t="shared" si="5"/>
        <v>0</v>
      </c>
      <c r="J109" s="114"/>
      <c r="K109" s="83"/>
      <c r="L109" s="83"/>
      <c r="M109" s="83"/>
      <c r="N109" s="83"/>
      <c r="O109" s="83"/>
      <c r="P109" s="83"/>
      <c r="Q109" s="83"/>
      <c r="R109" s="83"/>
      <c r="S109" s="83"/>
      <c r="T109" s="83"/>
      <c r="U109" s="83"/>
      <c r="V109" s="83"/>
      <c r="W109" s="83"/>
      <c r="X109" s="83"/>
      <c r="Y109" s="83"/>
      <c r="Z109" s="114"/>
      <c r="AA109" s="115" t="str">
        <f t="shared" si="6"/>
        <v/>
      </c>
      <c r="AB109" s="115">
        <f t="shared" si="7"/>
        <v>0</v>
      </c>
      <c r="AC109" s="115">
        <f t="shared" si="8"/>
        <v>0</v>
      </c>
      <c r="AD109" s="115">
        <f t="shared" si="9"/>
        <v>0</v>
      </c>
    </row>
    <row r="110">
      <c r="A110" s="101"/>
      <c r="B110" s="121"/>
      <c r="C110" s="122"/>
      <c r="D110" s="103" t="str">
        <f t="shared" si="1"/>
        <v/>
      </c>
      <c r="E110" s="103" t="str">
        <f t="shared" si="2"/>
        <v/>
      </c>
      <c r="F110" s="103" t="str">
        <f t="shared" si="3"/>
        <v/>
      </c>
      <c r="G110" s="122"/>
      <c r="H110" s="103">
        <f t="shared" si="4"/>
        <v>0</v>
      </c>
      <c r="I110" s="108">
        <f t="shared" si="5"/>
        <v>0</v>
      </c>
      <c r="J110" s="114"/>
      <c r="K110" s="83"/>
      <c r="L110" s="83"/>
      <c r="M110" s="83"/>
      <c r="N110" s="83"/>
      <c r="O110" s="83"/>
      <c r="P110" s="83"/>
      <c r="Q110" s="83"/>
      <c r="R110" s="83"/>
      <c r="S110" s="83"/>
      <c r="T110" s="83"/>
      <c r="U110" s="83"/>
      <c r="V110" s="83"/>
      <c r="W110" s="83"/>
      <c r="X110" s="83"/>
      <c r="Y110" s="83"/>
      <c r="Z110" s="114"/>
      <c r="AA110" s="115" t="str">
        <f t="shared" si="6"/>
        <v/>
      </c>
      <c r="AB110" s="115">
        <f t="shared" si="7"/>
        <v>0</v>
      </c>
      <c r="AC110" s="115">
        <f t="shared" si="8"/>
        <v>0</v>
      </c>
      <c r="AD110" s="115">
        <f t="shared" si="9"/>
        <v>0</v>
      </c>
    </row>
    <row r="111">
      <c r="A111" s="101"/>
      <c r="B111" s="121"/>
      <c r="C111" s="122"/>
      <c r="D111" s="103" t="str">
        <f t="shared" si="1"/>
        <v/>
      </c>
      <c r="E111" s="103" t="str">
        <f t="shared" si="2"/>
        <v/>
      </c>
      <c r="F111" s="103" t="str">
        <f t="shared" si="3"/>
        <v/>
      </c>
      <c r="G111" s="122"/>
      <c r="H111" s="103">
        <f t="shared" si="4"/>
        <v>0</v>
      </c>
      <c r="I111" s="108">
        <f t="shared" si="5"/>
        <v>0</v>
      </c>
      <c r="J111" s="114"/>
      <c r="K111" s="83"/>
      <c r="L111" s="83"/>
      <c r="M111" s="83"/>
      <c r="N111" s="83"/>
      <c r="O111" s="83"/>
      <c r="P111" s="83"/>
      <c r="Q111" s="83"/>
      <c r="R111" s="83"/>
      <c r="S111" s="83"/>
      <c r="T111" s="83"/>
      <c r="U111" s="83"/>
      <c r="V111" s="83"/>
      <c r="W111" s="83"/>
      <c r="X111" s="83"/>
      <c r="Y111" s="83"/>
      <c r="Z111" s="114"/>
      <c r="AA111" s="115" t="str">
        <f t="shared" si="6"/>
        <v/>
      </c>
      <c r="AB111" s="115">
        <f t="shared" si="7"/>
        <v>0</v>
      </c>
      <c r="AC111" s="115">
        <f t="shared" si="8"/>
        <v>0</v>
      </c>
      <c r="AD111" s="115">
        <f t="shared" si="9"/>
        <v>0</v>
      </c>
    </row>
    <row r="112">
      <c r="A112" s="101"/>
      <c r="B112" s="121"/>
      <c r="C112" s="122"/>
      <c r="D112" s="103" t="str">
        <f t="shared" si="1"/>
        <v/>
      </c>
      <c r="E112" s="103" t="str">
        <f t="shared" si="2"/>
        <v/>
      </c>
      <c r="F112" s="103" t="str">
        <f t="shared" si="3"/>
        <v/>
      </c>
      <c r="G112" s="122"/>
      <c r="H112" s="103">
        <f t="shared" si="4"/>
        <v>0</v>
      </c>
      <c r="I112" s="108">
        <f t="shared" si="5"/>
        <v>0</v>
      </c>
      <c r="J112" s="114"/>
      <c r="K112" s="83"/>
      <c r="L112" s="83"/>
      <c r="M112" s="83"/>
      <c r="N112" s="83"/>
      <c r="O112" s="83"/>
      <c r="P112" s="83"/>
      <c r="Q112" s="83"/>
      <c r="R112" s="83"/>
      <c r="S112" s="83"/>
      <c r="T112" s="83"/>
      <c r="U112" s="83"/>
      <c r="V112" s="83"/>
      <c r="W112" s="83"/>
      <c r="X112" s="83"/>
      <c r="Y112" s="83"/>
      <c r="Z112" s="114"/>
      <c r="AA112" s="115" t="str">
        <f t="shared" si="6"/>
        <v/>
      </c>
      <c r="AB112" s="115">
        <f t="shared" si="7"/>
        <v>0</v>
      </c>
      <c r="AC112" s="115">
        <f t="shared" si="8"/>
        <v>0</v>
      </c>
      <c r="AD112" s="115">
        <f t="shared" si="9"/>
        <v>0</v>
      </c>
    </row>
    <row r="113">
      <c r="A113" s="101"/>
      <c r="B113" s="121"/>
      <c r="C113" s="122"/>
      <c r="D113" s="103" t="str">
        <f t="shared" si="1"/>
        <v/>
      </c>
      <c r="E113" s="103" t="str">
        <f t="shared" si="2"/>
        <v/>
      </c>
      <c r="F113" s="103" t="str">
        <f t="shared" si="3"/>
        <v/>
      </c>
      <c r="G113" s="122"/>
      <c r="H113" s="103">
        <f t="shared" si="4"/>
        <v>0</v>
      </c>
      <c r="I113" s="108">
        <f t="shared" si="5"/>
        <v>0</v>
      </c>
      <c r="J113" s="114"/>
      <c r="K113" s="83"/>
      <c r="L113" s="83"/>
      <c r="M113" s="83"/>
      <c r="N113" s="83"/>
      <c r="O113" s="83"/>
      <c r="P113" s="83"/>
      <c r="Q113" s="83"/>
      <c r="R113" s="83"/>
      <c r="S113" s="83"/>
      <c r="T113" s="83"/>
      <c r="U113" s="83"/>
      <c r="V113" s="83"/>
      <c r="W113" s="83"/>
      <c r="X113" s="83"/>
      <c r="Y113" s="83"/>
      <c r="Z113" s="114"/>
      <c r="AA113" s="115" t="str">
        <f t="shared" si="6"/>
        <v/>
      </c>
      <c r="AB113" s="115">
        <f t="shared" si="7"/>
        <v>0</v>
      </c>
      <c r="AC113" s="115">
        <f t="shared" si="8"/>
        <v>0</v>
      </c>
      <c r="AD113" s="115">
        <f t="shared" si="9"/>
        <v>0</v>
      </c>
    </row>
    <row r="114">
      <c r="A114" s="101"/>
      <c r="B114" s="121"/>
      <c r="C114" s="122"/>
      <c r="D114" s="103" t="str">
        <f t="shared" si="1"/>
        <v/>
      </c>
      <c r="E114" s="103" t="str">
        <f t="shared" si="2"/>
        <v/>
      </c>
      <c r="F114" s="103" t="str">
        <f t="shared" si="3"/>
        <v/>
      </c>
      <c r="G114" s="122"/>
      <c r="H114" s="103">
        <f t="shared" si="4"/>
        <v>0</v>
      </c>
      <c r="I114" s="108">
        <f t="shared" si="5"/>
        <v>0</v>
      </c>
      <c r="J114" s="114"/>
      <c r="K114" s="83"/>
      <c r="L114" s="83"/>
      <c r="M114" s="83"/>
      <c r="N114" s="83"/>
      <c r="O114" s="83"/>
      <c r="P114" s="83"/>
      <c r="Q114" s="83"/>
      <c r="R114" s="83"/>
      <c r="S114" s="83"/>
      <c r="T114" s="83"/>
      <c r="U114" s="83"/>
      <c r="V114" s="83"/>
      <c r="W114" s="83"/>
      <c r="X114" s="83"/>
      <c r="Y114" s="83"/>
      <c r="Z114" s="114"/>
      <c r="AA114" s="115" t="str">
        <f t="shared" si="6"/>
        <v/>
      </c>
      <c r="AB114" s="115">
        <f t="shared" si="7"/>
        <v>0</v>
      </c>
      <c r="AC114" s="115">
        <f t="shared" si="8"/>
        <v>0</v>
      </c>
      <c r="AD114" s="115">
        <f t="shared" si="9"/>
        <v>0</v>
      </c>
    </row>
    <row r="115">
      <c r="A115" s="101"/>
      <c r="B115" s="121"/>
      <c r="C115" s="122"/>
      <c r="D115" s="103" t="str">
        <f t="shared" si="1"/>
        <v/>
      </c>
      <c r="E115" s="103" t="str">
        <f t="shared" si="2"/>
        <v/>
      </c>
      <c r="F115" s="103" t="str">
        <f t="shared" si="3"/>
        <v/>
      </c>
      <c r="G115" s="122"/>
      <c r="H115" s="103">
        <f t="shared" si="4"/>
        <v>0</v>
      </c>
      <c r="I115" s="108">
        <f t="shared" si="5"/>
        <v>0</v>
      </c>
      <c r="J115" s="114"/>
      <c r="K115" s="83"/>
      <c r="L115" s="83"/>
      <c r="M115" s="83"/>
      <c r="N115" s="83"/>
      <c r="O115" s="83"/>
      <c r="P115" s="83"/>
      <c r="Q115" s="83"/>
      <c r="R115" s="83"/>
      <c r="S115" s="83"/>
      <c r="T115" s="83"/>
      <c r="U115" s="83"/>
      <c r="V115" s="83"/>
      <c r="W115" s="83"/>
      <c r="X115" s="83"/>
      <c r="Y115" s="83"/>
      <c r="Z115" s="114"/>
      <c r="AA115" s="115" t="str">
        <f t="shared" si="6"/>
        <v/>
      </c>
      <c r="AB115" s="115">
        <f t="shared" si="7"/>
        <v>0</v>
      </c>
      <c r="AC115" s="115">
        <f t="shared" si="8"/>
        <v>0</v>
      </c>
      <c r="AD115" s="115">
        <f t="shared" si="9"/>
        <v>0</v>
      </c>
    </row>
    <row r="116">
      <c r="A116" s="101"/>
      <c r="B116" s="121"/>
      <c r="C116" s="122"/>
      <c r="D116" s="103" t="str">
        <f t="shared" si="1"/>
        <v/>
      </c>
      <c r="E116" s="103" t="str">
        <f t="shared" si="2"/>
        <v/>
      </c>
      <c r="F116" s="103" t="str">
        <f t="shared" si="3"/>
        <v/>
      </c>
      <c r="G116" s="122"/>
      <c r="H116" s="103">
        <f t="shared" si="4"/>
        <v>0</v>
      </c>
      <c r="I116" s="108">
        <f t="shared" si="5"/>
        <v>0</v>
      </c>
      <c r="J116" s="114"/>
      <c r="K116" s="83"/>
      <c r="L116" s="83"/>
      <c r="M116" s="83"/>
      <c r="N116" s="83"/>
      <c r="O116" s="83"/>
      <c r="P116" s="83"/>
      <c r="Q116" s="83"/>
      <c r="R116" s="83"/>
      <c r="S116" s="83"/>
      <c r="T116" s="83"/>
      <c r="U116" s="83"/>
      <c r="V116" s="83"/>
      <c r="W116" s="83"/>
      <c r="X116" s="83"/>
      <c r="Y116" s="83"/>
      <c r="Z116" s="114"/>
      <c r="AA116" s="115" t="str">
        <f t="shared" si="6"/>
        <v/>
      </c>
      <c r="AB116" s="115">
        <f t="shared" si="7"/>
        <v>0</v>
      </c>
      <c r="AC116" s="115">
        <f t="shared" si="8"/>
        <v>0</v>
      </c>
      <c r="AD116" s="115">
        <f t="shared" si="9"/>
        <v>0</v>
      </c>
    </row>
    <row r="117">
      <c r="A117" s="101"/>
      <c r="B117" s="121"/>
      <c r="C117" s="122"/>
      <c r="D117" s="103" t="str">
        <f t="shared" si="1"/>
        <v/>
      </c>
      <c r="E117" s="103" t="str">
        <f t="shared" si="2"/>
        <v/>
      </c>
      <c r="F117" s="103" t="str">
        <f t="shared" si="3"/>
        <v/>
      </c>
      <c r="G117" s="122"/>
      <c r="H117" s="103">
        <f t="shared" si="4"/>
        <v>0</v>
      </c>
      <c r="I117" s="108">
        <f t="shared" si="5"/>
        <v>0</v>
      </c>
      <c r="J117" s="114"/>
      <c r="K117" s="83"/>
      <c r="L117" s="83"/>
      <c r="M117" s="83"/>
      <c r="N117" s="83"/>
      <c r="O117" s="83"/>
      <c r="P117" s="83"/>
      <c r="Q117" s="83"/>
      <c r="R117" s="83"/>
      <c r="S117" s="83"/>
      <c r="T117" s="83"/>
      <c r="U117" s="83"/>
      <c r="V117" s="83"/>
      <c r="W117" s="83"/>
      <c r="X117" s="83"/>
      <c r="Y117" s="83"/>
      <c r="Z117" s="114"/>
      <c r="AA117" s="115" t="str">
        <f t="shared" si="6"/>
        <v/>
      </c>
      <c r="AB117" s="115">
        <f t="shared" si="7"/>
        <v>0</v>
      </c>
      <c r="AC117" s="115">
        <f t="shared" si="8"/>
        <v>0</v>
      </c>
      <c r="AD117" s="115">
        <f t="shared" si="9"/>
        <v>0</v>
      </c>
    </row>
    <row r="118">
      <c r="A118" s="101"/>
      <c r="B118" s="121"/>
      <c r="C118" s="122"/>
      <c r="D118" s="103" t="str">
        <f t="shared" si="1"/>
        <v/>
      </c>
      <c r="E118" s="103" t="str">
        <f t="shared" si="2"/>
        <v/>
      </c>
      <c r="F118" s="103" t="str">
        <f t="shared" si="3"/>
        <v/>
      </c>
      <c r="G118" s="122"/>
      <c r="H118" s="103">
        <f t="shared" si="4"/>
        <v>0</v>
      </c>
      <c r="I118" s="108">
        <f t="shared" si="5"/>
        <v>0</v>
      </c>
      <c r="J118" s="114"/>
      <c r="K118" s="83"/>
      <c r="L118" s="83"/>
      <c r="M118" s="83"/>
      <c r="N118" s="83"/>
      <c r="O118" s="83"/>
      <c r="P118" s="83"/>
      <c r="Q118" s="83"/>
      <c r="R118" s="83"/>
      <c r="S118" s="83"/>
      <c r="T118" s="83"/>
      <c r="U118" s="83"/>
      <c r="V118" s="83"/>
      <c r="W118" s="83"/>
      <c r="X118" s="83"/>
      <c r="Y118" s="83"/>
      <c r="Z118" s="114"/>
      <c r="AA118" s="115" t="str">
        <f t="shared" si="6"/>
        <v/>
      </c>
      <c r="AB118" s="115">
        <f t="shared" si="7"/>
        <v>0</v>
      </c>
      <c r="AC118" s="115">
        <f t="shared" si="8"/>
        <v>0</v>
      </c>
      <c r="AD118" s="115">
        <f t="shared" si="9"/>
        <v>0</v>
      </c>
    </row>
    <row r="119">
      <c r="A119" s="101"/>
      <c r="B119" s="121"/>
      <c r="C119" s="122"/>
      <c r="D119" s="103" t="str">
        <f t="shared" si="1"/>
        <v/>
      </c>
      <c r="E119" s="103" t="str">
        <f t="shared" si="2"/>
        <v/>
      </c>
      <c r="F119" s="103" t="str">
        <f t="shared" si="3"/>
        <v/>
      </c>
      <c r="G119" s="122"/>
      <c r="H119" s="103">
        <f t="shared" si="4"/>
        <v>0</v>
      </c>
      <c r="I119" s="108">
        <f t="shared" si="5"/>
        <v>0</v>
      </c>
      <c r="J119" s="114"/>
      <c r="K119" s="83"/>
      <c r="L119" s="83"/>
      <c r="M119" s="83"/>
      <c r="N119" s="83"/>
      <c r="O119" s="83"/>
      <c r="P119" s="83"/>
      <c r="Q119" s="83"/>
      <c r="R119" s="83"/>
      <c r="S119" s="83"/>
      <c r="T119" s="83"/>
      <c r="U119" s="83"/>
      <c r="V119" s="83"/>
      <c r="W119" s="83"/>
      <c r="X119" s="83"/>
      <c r="Y119" s="83"/>
      <c r="Z119" s="114"/>
      <c r="AA119" s="115" t="str">
        <f t="shared" si="6"/>
        <v/>
      </c>
      <c r="AB119" s="115">
        <f t="shared" si="7"/>
        <v>0</v>
      </c>
      <c r="AC119" s="115">
        <f t="shared" si="8"/>
        <v>0</v>
      </c>
      <c r="AD119" s="115">
        <f t="shared" si="9"/>
        <v>0</v>
      </c>
    </row>
    <row r="120">
      <c r="A120" s="101"/>
      <c r="B120" s="121"/>
      <c r="C120" s="122"/>
      <c r="D120" s="103" t="str">
        <f t="shared" si="1"/>
        <v/>
      </c>
      <c r="E120" s="103" t="str">
        <f t="shared" si="2"/>
        <v/>
      </c>
      <c r="F120" s="103" t="str">
        <f t="shared" si="3"/>
        <v/>
      </c>
      <c r="G120" s="122"/>
      <c r="H120" s="103">
        <f t="shared" si="4"/>
        <v>0</v>
      </c>
      <c r="I120" s="108">
        <f t="shared" si="5"/>
        <v>0</v>
      </c>
      <c r="J120" s="114"/>
      <c r="K120" s="83"/>
      <c r="L120" s="83"/>
      <c r="M120" s="83"/>
      <c r="N120" s="83"/>
      <c r="O120" s="83"/>
      <c r="P120" s="83"/>
      <c r="Q120" s="83"/>
      <c r="R120" s="83"/>
      <c r="S120" s="83"/>
      <c r="T120" s="83"/>
      <c r="U120" s="83"/>
      <c r="V120" s="83"/>
      <c r="W120" s="83"/>
      <c r="X120" s="83"/>
      <c r="Y120" s="83"/>
      <c r="Z120" s="114"/>
      <c r="AA120" s="115" t="str">
        <f t="shared" si="6"/>
        <v/>
      </c>
      <c r="AB120" s="115">
        <f t="shared" si="7"/>
        <v>0</v>
      </c>
      <c r="AC120" s="115">
        <f t="shared" si="8"/>
        <v>0</v>
      </c>
      <c r="AD120" s="115">
        <f t="shared" si="9"/>
        <v>0</v>
      </c>
    </row>
    <row r="121">
      <c r="A121" s="101"/>
      <c r="B121" s="121"/>
      <c r="C121" s="122"/>
      <c r="D121" s="103" t="str">
        <f t="shared" si="1"/>
        <v/>
      </c>
      <c r="E121" s="103" t="str">
        <f t="shared" si="2"/>
        <v/>
      </c>
      <c r="F121" s="103" t="str">
        <f t="shared" si="3"/>
        <v/>
      </c>
      <c r="G121" s="122"/>
      <c r="H121" s="103">
        <f t="shared" si="4"/>
        <v>0</v>
      </c>
      <c r="I121" s="108">
        <f t="shared" si="5"/>
        <v>0</v>
      </c>
      <c r="J121" s="114"/>
      <c r="K121" s="83"/>
      <c r="L121" s="83"/>
      <c r="M121" s="83"/>
      <c r="N121" s="83"/>
      <c r="O121" s="83"/>
      <c r="P121" s="83"/>
      <c r="Q121" s="83"/>
      <c r="R121" s="83"/>
      <c r="S121" s="83"/>
      <c r="T121" s="83"/>
      <c r="U121" s="83"/>
      <c r="V121" s="83"/>
      <c r="W121" s="83"/>
      <c r="X121" s="83"/>
      <c r="Y121" s="83"/>
      <c r="Z121" s="114"/>
      <c r="AA121" s="115" t="str">
        <f t="shared" si="6"/>
        <v/>
      </c>
      <c r="AB121" s="115">
        <f t="shared" si="7"/>
        <v>0</v>
      </c>
      <c r="AC121" s="115">
        <f t="shared" si="8"/>
        <v>0</v>
      </c>
      <c r="AD121" s="115">
        <f t="shared" si="9"/>
        <v>0</v>
      </c>
    </row>
    <row r="122">
      <c r="A122" s="101"/>
      <c r="B122" s="121"/>
      <c r="C122" s="122"/>
      <c r="D122" s="103" t="str">
        <f t="shared" si="1"/>
        <v/>
      </c>
      <c r="E122" s="103" t="str">
        <f t="shared" si="2"/>
        <v/>
      </c>
      <c r="F122" s="103" t="str">
        <f t="shared" si="3"/>
        <v/>
      </c>
      <c r="G122" s="122"/>
      <c r="H122" s="103">
        <f t="shared" si="4"/>
        <v>0</v>
      </c>
      <c r="I122" s="108">
        <f t="shared" si="5"/>
        <v>0</v>
      </c>
      <c r="J122" s="114"/>
      <c r="K122" s="83"/>
      <c r="L122" s="83"/>
      <c r="M122" s="83"/>
      <c r="N122" s="83"/>
      <c r="O122" s="83"/>
      <c r="P122" s="83"/>
      <c r="Q122" s="83"/>
      <c r="R122" s="83"/>
      <c r="S122" s="83"/>
      <c r="T122" s="83"/>
      <c r="U122" s="83"/>
      <c r="V122" s="83"/>
      <c r="W122" s="83"/>
      <c r="X122" s="83"/>
      <c r="Y122" s="83"/>
      <c r="Z122" s="114"/>
      <c r="AA122" s="115" t="str">
        <f t="shared" si="6"/>
        <v/>
      </c>
      <c r="AB122" s="115">
        <f t="shared" si="7"/>
        <v>0</v>
      </c>
      <c r="AC122" s="115">
        <f t="shared" si="8"/>
        <v>0</v>
      </c>
      <c r="AD122" s="115">
        <f t="shared" si="9"/>
        <v>0</v>
      </c>
    </row>
    <row r="123">
      <c r="A123" s="101"/>
      <c r="B123" s="121"/>
      <c r="C123" s="122"/>
      <c r="D123" s="103" t="str">
        <f t="shared" si="1"/>
        <v/>
      </c>
      <c r="E123" s="103" t="str">
        <f t="shared" si="2"/>
        <v/>
      </c>
      <c r="F123" s="103" t="str">
        <f t="shared" si="3"/>
        <v/>
      </c>
      <c r="G123" s="122"/>
      <c r="H123" s="103">
        <f t="shared" si="4"/>
        <v>0</v>
      </c>
      <c r="I123" s="108">
        <f t="shared" si="5"/>
        <v>0</v>
      </c>
      <c r="J123" s="114"/>
      <c r="K123" s="83"/>
      <c r="L123" s="83"/>
      <c r="M123" s="83"/>
      <c r="N123" s="83"/>
      <c r="O123" s="83"/>
      <c r="P123" s="83"/>
      <c r="Q123" s="83"/>
      <c r="R123" s="83"/>
      <c r="S123" s="83"/>
      <c r="T123" s="83"/>
      <c r="U123" s="83"/>
      <c r="V123" s="83"/>
      <c r="W123" s="83"/>
      <c r="X123" s="83"/>
      <c r="Y123" s="83"/>
      <c r="Z123" s="114"/>
      <c r="AA123" s="115" t="str">
        <f t="shared" si="6"/>
        <v/>
      </c>
      <c r="AB123" s="115">
        <f t="shared" si="7"/>
        <v>0</v>
      </c>
      <c r="AC123" s="115">
        <f t="shared" si="8"/>
        <v>0</v>
      </c>
      <c r="AD123" s="115">
        <f t="shared" si="9"/>
        <v>0</v>
      </c>
    </row>
    <row r="124">
      <c r="A124" s="101"/>
      <c r="B124" s="121"/>
      <c r="C124" s="122"/>
      <c r="D124" s="103" t="str">
        <f t="shared" si="1"/>
        <v/>
      </c>
      <c r="E124" s="103" t="str">
        <f t="shared" si="2"/>
        <v/>
      </c>
      <c r="F124" s="103" t="str">
        <f t="shared" si="3"/>
        <v/>
      </c>
      <c r="G124" s="122"/>
      <c r="H124" s="103">
        <f t="shared" si="4"/>
        <v>0</v>
      </c>
      <c r="I124" s="108">
        <f t="shared" si="5"/>
        <v>0</v>
      </c>
      <c r="J124" s="114"/>
      <c r="K124" s="83"/>
      <c r="L124" s="83"/>
      <c r="M124" s="83"/>
      <c r="N124" s="83"/>
      <c r="O124" s="83"/>
      <c r="P124" s="83"/>
      <c r="Q124" s="83"/>
      <c r="R124" s="83"/>
      <c r="S124" s="83"/>
      <c r="T124" s="83"/>
      <c r="U124" s="83"/>
      <c r="V124" s="83"/>
      <c r="W124" s="83"/>
      <c r="X124" s="83"/>
      <c r="Y124" s="83"/>
      <c r="Z124" s="114"/>
      <c r="AA124" s="115" t="str">
        <f t="shared" si="6"/>
        <v/>
      </c>
      <c r="AB124" s="115">
        <f t="shared" si="7"/>
        <v>0</v>
      </c>
      <c r="AC124" s="115">
        <f t="shared" si="8"/>
        <v>0</v>
      </c>
      <c r="AD124" s="115">
        <f t="shared" si="9"/>
        <v>0</v>
      </c>
    </row>
    <row r="125">
      <c r="A125" s="101"/>
      <c r="B125" s="121"/>
      <c r="C125" s="122"/>
      <c r="D125" s="103" t="str">
        <f t="shared" si="1"/>
        <v/>
      </c>
      <c r="E125" s="103" t="str">
        <f t="shared" si="2"/>
        <v/>
      </c>
      <c r="F125" s="103" t="str">
        <f t="shared" si="3"/>
        <v/>
      </c>
      <c r="G125" s="122"/>
      <c r="H125" s="103">
        <f t="shared" si="4"/>
        <v>0</v>
      </c>
      <c r="I125" s="108">
        <f t="shared" si="5"/>
        <v>0</v>
      </c>
      <c r="J125" s="114"/>
      <c r="K125" s="83"/>
      <c r="L125" s="83"/>
      <c r="M125" s="83"/>
      <c r="N125" s="83"/>
      <c r="O125" s="83"/>
      <c r="P125" s="83"/>
      <c r="Q125" s="83"/>
      <c r="R125" s="83"/>
      <c r="S125" s="83"/>
      <c r="T125" s="83"/>
      <c r="U125" s="83"/>
      <c r="V125" s="83"/>
      <c r="W125" s="83"/>
      <c r="X125" s="83"/>
      <c r="Y125" s="83"/>
      <c r="Z125" s="114"/>
      <c r="AA125" s="115" t="str">
        <f t="shared" si="6"/>
        <v/>
      </c>
      <c r="AB125" s="115">
        <f t="shared" si="7"/>
        <v>0</v>
      </c>
      <c r="AC125" s="115">
        <f t="shared" si="8"/>
        <v>0</v>
      </c>
      <c r="AD125" s="115">
        <f t="shared" si="9"/>
        <v>0</v>
      </c>
    </row>
    <row r="126">
      <c r="A126" s="101"/>
      <c r="B126" s="121"/>
      <c r="C126" s="122"/>
      <c r="D126" s="103" t="str">
        <f t="shared" si="1"/>
        <v/>
      </c>
      <c r="E126" s="103" t="str">
        <f t="shared" si="2"/>
        <v/>
      </c>
      <c r="F126" s="103" t="str">
        <f t="shared" si="3"/>
        <v/>
      </c>
      <c r="G126" s="122"/>
      <c r="H126" s="103">
        <f t="shared" si="4"/>
        <v>0</v>
      </c>
      <c r="I126" s="108">
        <f t="shared" si="5"/>
        <v>0</v>
      </c>
      <c r="J126" s="114"/>
      <c r="K126" s="83"/>
      <c r="L126" s="83"/>
      <c r="M126" s="83"/>
      <c r="N126" s="83"/>
      <c r="O126" s="83"/>
      <c r="P126" s="83"/>
      <c r="Q126" s="83"/>
      <c r="R126" s="83"/>
      <c r="S126" s="83"/>
      <c r="T126" s="83"/>
      <c r="U126" s="83"/>
      <c r="V126" s="83"/>
      <c r="W126" s="83"/>
      <c r="X126" s="83"/>
      <c r="Y126" s="83"/>
      <c r="Z126" s="114"/>
      <c r="AA126" s="115" t="str">
        <f t="shared" si="6"/>
        <v/>
      </c>
      <c r="AB126" s="115">
        <f t="shared" si="7"/>
        <v>0</v>
      </c>
      <c r="AC126" s="115">
        <f t="shared" si="8"/>
        <v>0</v>
      </c>
      <c r="AD126" s="115">
        <f t="shared" si="9"/>
        <v>0</v>
      </c>
    </row>
    <row r="127">
      <c r="A127" s="101"/>
      <c r="B127" s="121"/>
      <c r="C127" s="122"/>
      <c r="D127" s="103" t="str">
        <f t="shared" si="1"/>
        <v/>
      </c>
      <c r="E127" s="103" t="str">
        <f t="shared" si="2"/>
        <v/>
      </c>
      <c r="F127" s="103" t="str">
        <f t="shared" si="3"/>
        <v/>
      </c>
      <c r="G127" s="122"/>
      <c r="H127" s="103">
        <f t="shared" si="4"/>
        <v>0</v>
      </c>
      <c r="I127" s="108">
        <f t="shared" si="5"/>
        <v>0</v>
      </c>
      <c r="J127" s="114"/>
      <c r="K127" s="83"/>
      <c r="L127" s="83"/>
      <c r="M127" s="83"/>
      <c r="N127" s="83"/>
      <c r="O127" s="83"/>
      <c r="P127" s="83"/>
      <c r="Q127" s="83"/>
      <c r="R127" s="83"/>
      <c r="S127" s="83"/>
      <c r="T127" s="83"/>
      <c r="U127" s="83"/>
      <c r="V127" s="83"/>
      <c r="W127" s="83"/>
      <c r="X127" s="83"/>
      <c r="Y127" s="83"/>
      <c r="Z127" s="114"/>
      <c r="AA127" s="115" t="str">
        <f t="shared" si="6"/>
        <v/>
      </c>
      <c r="AB127" s="115">
        <f t="shared" si="7"/>
        <v>0</v>
      </c>
      <c r="AC127" s="115">
        <f t="shared" si="8"/>
        <v>0</v>
      </c>
      <c r="AD127" s="115">
        <f t="shared" si="9"/>
        <v>0</v>
      </c>
    </row>
    <row r="128">
      <c r="A128" s="101"/>
      <c r="B128" s="121"/>
      <c r="C128" s="122"/>
      <c r="D128" s="103" t="str">
        <f t="shared" si="1"/>
        <v/>
      </c>
      <c r="E128" s="103" t="str">
        <f t="shared" si="2"/>
        <v/>
      </c>
      <c r="F128" s="103" t="str">
        <f t="shared" si="3"/>
        <v/>
      </c>
      <c r="G128" s="122"/>
      <c r="H128" s="103">
        <f t="shared" si="4"/>
        <v>0</v>
      </c>
      <c r="I128" s="108">
        <f t="shared" si="5"/>
        <v>0</v>
      </c>
      <c r="J128" s="114"/>
      <c r="K128" s="83"/>
      <c r="L128" s="83"/>
      <c r="M128" s="83"/>
      <c r="N128" s="83"/>
      <c r="O128" s="83"/>
      <c r="P128" s="83"/>
      <c r="Q128" s="83"/>
      <c r="R128" s="83"/>
      <c r="S128" s="83"/>
      <c r="T128" s="83"/>
      <c r="U128" s="83"/>
      <c r="V128" s="83"/>
      <c r="W128" s="83"/>
      <c r="X128" s="83"/>
      <c r="Y128" s="83"/>
      <c r="Z128" s="114"/>
      <c r="AA128" s="115" t="str">
        <f t="shared" si="6"/>
        <v/>
      </c>
      <c r="AB128" s="115">
        <f t="shared" si="7"/>
        <v>0</v>
      </c>
      <c r="AC128" s="115">
        <f t="shared" si="8"/>
        <v>0</v>
      </c>
      <c r="AD128" s="115">
        <f t="shared" si="9"/>
        <v>0</v>
      </c>
    </row>
    <row r="129">
      <c r="A129" s="101"/>
      <c r="B129" s="121"/>
      <c r="C129" s="122"/>
      <c r="D129" s="103" t="str">
        <f t="shared" si="1"/>
        <v/>
      </c>
      <c r="E129" s="103" t="str">
        <f t="shared" si="2"/>
        <v/>
      </c>
      <c r="F129" s="103" t="str">
        <f t="shared" si="3"/>
        <v/>
      </c>
      <c r="G129" s="122"/>
      <c r="H129" s="103">
        <f t="shared" si="4"/>
        <v>0</v>
      </c>
      <c r="I129" s="108">
        <f t="shared" si="5"/>
        <v>0</v>
      </c>
      <c r="J129" s="114"/>
      <c r="K129" s="83"/>
      <c r="L129" s="83"/>
      <c r="M129" s="83"/>
      <c r="N129" s="83"/>
      <c r="O129" s="83"/>
      <c r="P129" s="83"/>
      <c r="Q129" s="83"/>
      <c r="R129" s="83"/>
      <c r="S129" s="83"/>
      <c r="T129" s="83"/>
      <c r="U129" s="83"/>
      <c r="V129" s="83"/>
      <c r="W129" s="83"/>
      <c r="X129" s="83"/>
      <c r="Y129" s="83"/>
      <c r="Z129" s="114"/>
      <c r="AA129" s="115" t="str">
        <f t="shared" si="6"/>
        <v/>
      </c>
      <c r="AB129" s="115">
        <f t="shared" si="7"/>
        <v>0</v>
      </c>
      <c r="AC129" s="115">
        <f t="shared" si="8"/>
        <v>0</v>
      </c>
      <c r="AD129" s="115">
        <f t="shared" si="9"/>
        <v>0</v>
      </c>
    </row>
    <row r="130">
      <c r="A130" s="101"/>
      <c r="B130" s="121"/>
      <c r="C130" s="122"/>
      <c r="D130" s="103" t="str">
        <f t="shared" si="1"/>
        <v/>
      </c>
      <c r="E130" s="103" t="str">
        <f t="shared" si="2"/>
        <v/>
      </c>
      <c r="F130" s="103" t="str">
        <f t="shared" si="3"/>
        <v/>
      </c>
      <c r="G130" s="122"/>
      <c r="H130" s="103">
        <f t="shared" si="4"/>
        <v>0</v>
      </c>
      <c r="I130" s="108">
        <f t="shared" si="5"/>
        <v>0</v>
      </c>
      <c r="J130" s="114"/>
      <c r="K130" s="83"/>
      <c r="L130" s="83"/>
      <c r="M130" s="83"/>
      <c r="N130" s="83"/>
      <c r="O130" s="83"/>
      <c r="P130" s="83"/>
      <c r="Q130" s="83"/>
      <c r="R130" s="83"/>
      <c r="S130" s="83"/>
      <c r="T130" s="83"/>
      <c r="U130" s="83"/>
      <c r="V130" s="83"/>
      <c r="W130" s="83"/>
      <c r="X130" s="83"/>
      <c r="Y130" s="83"/>
      <c r="Z130" s="114"/>
      <c r="AA130" s="115" t="str">
        <f t="shared" si="6"/>
        <v/>
      </c>
      <c r="AB130" s="115">
        <f t="shared" si="7"/>
        <v>0</v>
      </c>
      <c r="AC130" s="115">
        <f t="shared" si="8"/>
        <v>0</v>
      </c>
      <c r="AD130" s="115">
        <f t="shared" si="9"/>
        <v>0</v>
      </c>
    </row>
    <row r="131">
      <c r="A131" s="101"/>
      <c r="B131" s="121"/>
      <c r="C131" s="122"/>
      <c r="D131" s="103" t="str">
        <f t="shared" si="1"/>
        <v/>
      </c>
      <c r="E131" s="103" t="str">
        <f t="shared" si="2"/>
        <v/>
      </c>
      <c r="F131" s="103" t="str">
        <f t="shared" si="3"/>
        <v/>
      </c>
      <c r="G131" s="122"/>
      <c r="H131" s="103">
        <f t="shared" si="4"/>
        <v>0</v>
      </c>
      <c r="I131" s="108">
        <f t="shared" si="5"/>
        <v>0</v>
      </c>
      <c r="J131" s="114"/>
      <c r="K131" s="83"/>
      <c r="L131" s="83"/>
      <c r="M131" s="83"/>
      <c r="N131" s="83"/>
      <c r="O131" s="83"/>
      <c r="P131" s="83"/>
      <c r="Q131" s="83"/>
      <c r="R131" s="83"/>
      <c r="S131" s="83"/>
      <c r="T131" s="83"/>
      <c r="U131" s="83"/>
      <c r="V131" s="83"/>
      <c r="W131" s="83"/>
      <c r="X131" s="83"/>
      <c r="Y131" s="83"/>
      <c r="Z131" s="114"/>
      <c r="AA131" s="115" t="str">
        <f t="shared" si="6"/>
        <v/>
      </c>
      <c r="AB131" s="115">
        <f t="shared" si="7"/>
        <v>0</v>
      </c>
      <c r="AC131" s="115">
        <f t="shared" si="8"/>
        <v>0</v>
      </c>
      <c r="AD131" s="115">
        <f t="shared" si="9"/>
        <v>0</v>
      </c>
    </row>
    <row r="132">
      <c r="A132" s="101"/>
      <c r="B132" s="121"/>
      <c r="C132" s="122"/>
      <c r="D132" s="103" t="str">
        <f t="shared" si="1"/>
        <v/>
      </c>
      <c r="E132" s="103" t="str">
        <f t="shared" si="2"/>
        <v/>
      </c>
      <c r="F132" s="103" t="str">
        <f t="shared" si="3"/>
        <v/>
      </c>
      <c r="G132" s="122"/>
      <c r="H132" s="103">
        <f t="shared" si="4"/>
        <v>0</v>
      </c>
      <c r="I132" s="108">
        <f t="shared" si="5"/>
        <v>0</v>
      </c>
      <c r="J132" s="114"/>
      <c r="K132" s="83"/>
      <c r="L132" s="83"/>
      <c r="M132" s="83"/>
      <c r="N132" s="83"/>
      <c r="O132" s="83"/>
      <c r="P132" s="83"/>
      <c r="Q132" s="83"/>
      <c r="R132" s="83"/>
      <c r="S132" s="83"/>
      <c r="T132" s="83"/>
      <c r="U132" s="83"/>
      <c r="V132" s="83"/>
      <c r="W132" s="83"/>
      <c r="X132" s="83"/>
      <c r="Y132" s="83"/>
      <c r="Z132" s="114"/>
      <c r="AA132" s="115" t="str">
        <f t="shared" si="6"/>
        <v/>
      </c>
      <c r="AB132" s="115">
        <f t="shared" si="7"/>
        <v>0</v>
      </c>
      <c r="AC132" s="115">
        <f t="shared" si="8"/>
        <v>0</v>
      </c>
      <c r="AD132" s="115">
        <f t="shared" si="9"/>
        <v>0</v>
      </c>
    </row>
    <row r="133">
      <c r="A133" s="101"/>
      <c r="B133" s="121"/>
      <c r="C133" s="122"/>
      <c r="D133" s="103" t="str">
        <f t="shared" si="1"/>
        <v/>
      </c>
      <c r="E133" s="103" t="str">
        <f t="shared" si="2"/>
        <v/>
      </c>
      <c r="F133" s="103" t="str">
        <f t="shared" si="3"/>
        <v/>
      </c>
      <c r="G133" s="122"/>
      <c r="H133" s="103">
        <f t="shared" si="4"/>
        <v>0</v>
      </c>
      <c r="I133" s="108">
        <f t="shared" si="5"/>
        <v>0</v>
      </c>
      <c r="J133" s="114"/>
      <c r="K133" s="83"/>
      <c r="L133" s="83"/>
      <c r="M133" s="83"/>
      <c r="N133" s="83"/>
      <c r="O133" s="83"/>
      <c r="P133" s="83"/>
      <c r="Q133" s="83"/>
      <c r="R133" s="83"/>
      <c r="S133" s="83"/>
      <c r="T133" s="83"/>
      <c r="U133" s="83"/>
      <c r="V133" s="83"/>
      <c r="W133" s="83"/>
      <c r="X133" s="83"/>
      <c r="Y133" s="83"/>
      <c r="Z133" s="114"/>
      <c r="AA133" s="115" t="str">
        <f t="shared" si="6"/>
        <v/>
      </c>
      <c r="AB133" s="115">
        <f t="shared" si="7"/>
        <v>0</v>
      </c>
      <c r="AC133" s="115">
        <f t="shared" si="8"/>
        <v>0</v>
      </c>
      <c r="AD133" s="115">
        <f t="shared" si="9"/>
        <v>0</v>
      </c>
    </row>
    <row r="134">
      <c r="A134" s="101"/>
      <c r="B134" s="121"/>
      <c r="C134" s="122"/>
      <c r="D134" s="103" t="str">
        <f t="shared" si="1"/>
        <v/>
      </c>
      <c r="E134" s="103" t="str">
        <f t="shared" si="2"/>
        <v/>
      </c>
      <c r="F134" s="103" t="str">
        <f t="shared" si="3"/>
        <v/>
      </c>
      <c r="G134" s="122"/>
      <c r="H134" s="103">
        <f t="shared" si="4"/>
        <v>0</v>
      </c>
      <c r="I134" s="108">
        <f t="shared" si="5"/>
        <v>0</v>
      </c>
      <c r="J134" s="114"/>
      <c r="K134" s="83"/>
      <c r="L134" s="83"/>
      <c r="M134" s="83"/>
      <c r="N134" s="83"/>
      <c r="O134" s="83"/>
      <c r="P134" s="83"/>
      <c r="Q134" s="83"/>
      <c r="R134" s="83"/>
      <c r="S134" s="83"/>
      <c r="T134" s="83"/>
      <c r="U134" s="83"/>
      <c r="V134" s="83"/>
      <c r="W134" s="83"/>
      <c r="X134" s="83"/>
      <c r="Y134" s="83"/>
      <c r="Z134" s="114"/>
      <c r="AA134" s="115" t="str">
        <f t="shared" si="6"/>
        <v/>
      </c>
      <c r="AB134" s="115">
        <f t="shared" si="7"/>
        <v>0</v>
      </c>
      <c r="AC134" s="115">
        <f t="shared" si="8"/>
        <v>0</v>
      </c>
      <c r="AD134" s="115">
        <f t="shared" si="9"/>
        <v>0</v>
      </c>
    </row>
    <row r="135">
      <c r="A135" s="101"/>
      <c r="B135" s="121"/>
      <c r="C135" s="122"/>
      <c r="D135" s="103" t="str">
        <f t="shared" si="1"/>
        <v/>
      </c>
      <c r="E135" s="103" t="str">
        <f t="shared" si="2"/>
        <v/>
      </c>
      <c r="F135" s="103" t="str">
        <f t="shared" si="3"/>
        <v/>
      </c>
      <c r="G135" s="122"/>
      <c r="H135" s="103">
        <f t="shared" si="4"/>
        <v>0</v>
      </c>
      <c r="I135" s="108">
        <f t="shared" si="5"/>
        <v>0</v>
      </c>
      <c r="J135" s="114"/>
      <c r="K135" s="83"/>
      <c r="L135" s="83"/>
      <c r="M135" s="83"/>
      <c r="N135" s="83"/>
      <c r="O135" s="83"/>
      <c r="P135" s="83"/>
      <c r="Q135" s="83"/>
      <c r="R135" s="83"/>
      <c r="S135" s="83"/>
      <c r="T135" s="83"/>
      <c r="U135" s="83"/>
      <c r="V135" s="83"/>
      <c r="W135" s="83"/>
      <c r="X135" s="83"/>
      <c r="Y135" s="83"/>
      <c r="Z135" s="114"/>
      <c r="AA135" s="115" t="str">
        <f t="shared" si="6"/>
        <v/>
      </c>
      <c r="AB135" s="115">
        <f t="shared" si="7"/>
        <v>0</v>
      </c>
      <c r="AC135" s="115">
        <f t="shared" si="8"/>
        <v>0</v>
      </c>
      <c r="AD135" s="115">
        <f t="shared" si="9"/>
        <v>0</v>
      </c>
    </row>
    <row r="136">
      <c r="A136" s="101"/>
      <c r="B136" s="121"/>
      <c r="C136" s="122"/>
      <c r="D136" s="103" t="str">
        <f t="shared" si="1"/>
        <v/>
      </c>
      <c r="E136" s="103" t="str">
        <f t="shared" si="2"/>
        <v/>
      </c>
      <c r="F136" s="103" t="str">
        <f t="shared" si="3"/>
        <v/>
      </c>
      <c r="G136" s="122"/>
      <c r="H136" s="103">
        <f t="shared" si="4"/>
        <v>0</v>
      </c>
      <c r="I136" s="108">
        <f t="shared" si="5"/>
        <v>0</v>
      </c>
      <c r="J136" s="114"/>
      <c r="K136" s="83"/>
      <c r="L136" s="83"/>
      <c r="M136" s="83"/>
      <c r="N136" s="83"/>
      <c r="O136" s="83"/>
      <c r="P136" s="83"/>
      <c r="Q136" s="83"/>
      <c r="R136" s="83"/>
      <c r="S136" s="83"/>
      <c r="T136" s="83"/>
      <c r="U136" s="83"/>
      <c r="V136" s="83"/>
      <c r="W136" s="83"/>
      <c r="X136" s="83"/>
      <c r="Y136" s="83"/>
      <c r="Z136" s="114"/>
      <c r="AA136" s="115" t="str">
        <f t="shared" si="6"/>
        <v/>
      </c>
      <c r="AB136" s="115">
        <f t="shared" si="7"/>
        <v>0</v>
      </c>
      <c r="AC136" s="115">
        <f t="shared" si="8"/>
        <v>0</v>
      </c>
      <c r="AD136" s="115">
        <f t="shared" si="9"/>
        <v>0</v>
      </c>
    </row>
    <row r="137">
      <c r="A137" s="101"/>
      <c r="B137" s="121"/>
      <c r="C137" s="122"/>
      <c r="D137" s="103" t="str">
        <f t="shared" si="1"/>
        <v/>
      </c>
      <c r="E137" s="103" t="str">
        <f t="shared" si="2"/>
        <v/>
      </c>
      <c r="F137" s="103" t="str">
        <f t="shared" si="3"/>
        <v/>
      </c>
      <c r="G137" s="122"/>
      <c r="H137" s="103">
        <f t="shared" si="4"/>
        <v>0</v>
      </c>
      <c r="I137" s="108">
        <f t="shared" si="5"/>
        <v>0</v>
      </c>
      <c r="J137" s="114"/>
      <c r="K137" s="83"/>
      <c r="L137" s="83"/>
      <c r="M137" s="83"/>
      <c r="N137" s="83"/>
      <c r="O137" s="83"/>
      <c r="P137" s="83"/>
      <c r="Q137" s="83"/>
      <c r="R137" s="83"/>
      <c r="S137" s="83"/>
      <c r="T137" s="83"/>
      <c r="U137" s="83"/>
      <c r="V137" s="83"/>
      <c r="W137" s="83"/>
      <c r="X137" s="83"/>
      <c r="Y137" s="83"/>
      <c r="Z137" s="114"/>
      <c r="AA137" s="115" t="str">
        <f t="shared" si="6"/>
        <v/>
      </c>
      <c r="AB137" s="115">
        <f t="shared" si="7"/>
        <v>0</v>
      </c>
      <c r="AC137" s="115">
        <f t="shared" si="8"/>
        <v>0</v>
      </c>
      <c r="AD137" s="115">
        <f t="shared" si="9"/>
        <v>0</v>
      </c>
    </row>
    <row r="138">
      <c r="A138" s="101"/>
      <c r="B138" s="121"/>
      <c r="C138" s="122"/>
      <c r="D138" s="103" t="str">
        <f t="shared" si="1"/>
        <v/>
      </c>
      <c r="E138" s="103" t="str">
        <f t="shared" si="2"/>
        <v/>
      </c>
      <c r="F138" s="103" t="str">
        <f t="shared" si="3"/>
        <v/>
      </c>
      <c r="G138" s="122"/>
      <c r="H138" s="103">
        <f t="shared" si="4"/>
        <v>0</v>
      </c>
      <c r="I138" s="108">
        <f t="shared" si="5"/>
        <v>0</v>
      </c>
      <c r="J138" s="114"/>
      <c r="K138" s="83"/>
      <c r="L138" s="83"/>
      <c r="M138" s="83"/>
      <c r="N138" s="83"/>
      <c r="O138" s="83"/>
      <c r="P138" s="83"/>
      <c r="Q138" s="83"/>
      <c r="R138" s="83"/>
      <c r="S138" s="83"/>
      <c r="T138" s="83"/>
      <c r="U138" s="83"/>
      <c r="V138" s="83"/>
      <c r="W138" s="83"/>
      <c r="X138" s="83"/>
      <c r="Y138" s="83"/>
      <c r="Z138" s="114"/>
      <c r="AA138" s="115" t="str">
        <f t="shared" si="6"/>
        <v/>
      </c>
      <c r="AB138" s="115">
        <f t="shared" si="7"/>
        <v>0</v>
      </c>
      <c r="AC138" s="115">
        <f t="shared" si="8"/>
        <v>0</v>
      </c>
      <c r="AD138" s="115">
        <f t="shared" si="9"/>
        <v>0</v>
      </c>
    </row>
    <row r="139">
      <c r="A139" s="101"/>
      <c r="B139" s="121"/>
      <c r="C139" s="122"/>
      <c r="D139" s="103" t="str">
        <f t="shared" si="1"/>
        <v/>
      </c>
      <c r="E139" s="103" t="str">
        <f t="shared" si="2"/>
        <v/>
      </c>
      <c r="F139" s="103" t="str">
        <f t="shared" si="3"/>
        <v/>
      </c>
      <c r="G139" s="122"/>
      <c r="H139" s="103">
        <f t="shared" si="4"/>
        <v>0</v>
      </c>
      <c r="I139" s="108">
        <f t="shared" si="5"/>
        <v>0</v>
      </c>
      <c r="J139" s="114"/>
      <c r="K139" s="83"/>
      <c r="L139" s="83"/>
      <c r="M139" s="83"/>
      <c r="N139" s="83"/>
      <c r="O139" s="83"/>
      <c r="P139" s="83"/>
      <c r="Q139" s="83"/>
      <c r="R139" s="83"/>
      <c r="S139" s="83"/>
      <c r="T139" s="83"/>
      <c r="U139" s="83"/>
      <c r="V139" s="83"/>
      <c r="W139" s="83"/>
      <c r="X139" s="83"/>
      <c r="Y139" s="83"/>
      <c r="Z139" s="114"/>
      <c r="AA139" s="115" t="str">
        <f t="shared" si="6"/>
        <v/>
      </c>
      <c r="AB139" s="115">
        <f t="shared" si="7"/>
        <v>0</v>
      </c>
      <c r="AC139" s="115">
        <f t="shared" si="8"/>
        <v>0</v>
      </c>
      <c r="AD139" s="115">
        <f t="shared" si="9"/>
        <v>0</v>
      </c>
    </row>
    <row r="140">
      <c r="A140" s="101"/>
      <c r="B140" s="121"/>
      <c r="C140" s="122"/>
      <c r="D140" s="103" t="str">
        <f t="shared" si="1"/>
        <v/>
      </c>
      <c r="E140" s="103" t="str">
        <f t="shared" si="2"/>
        <v/>
      </c>
      <c r="F140" s="103" t="str">
        <f t="shared" si="3"/>
        <v/>
      </c>
      <c r="G140" s="122"/>
      <c r="H140" s="103">
        <f t="shared" si="4"/>
        <v>0</v>
      </c>
      <c r="I140" s="108">
        <f t="shared" si="5"/>
        <v>0</v>
      </c>
      <c r="J140" s="114"/>
      <c r="K140" s="83"/>
      <c r="L140" s="83"/>
      <c r="M140" s="83"/>
      <c r="N140" s="83"/>
      <c r="O140" s="83"/>
      <c r="P140" s="83"/>
      <c r="Q140" s="83"/>
      <c r="R140" s="83"/>
      <c r="S140" s="83"/>
      <c r="T140" s="83"/>
      <c r="U140" s="83"/>
      <c r="V140" s="83"/>
      <c r="W140" s="83"/>
      <c r="X140" s="83"/>
      <c r="Y140" s="83"/>
      <c r="Z140" s="114"/>
      <c r="AA140" s="115" t="str">
        <f t="shared" si="6"/>
        <v/>
      </c>
      <c r="AB140" s="115">
        <f t="shared" si="7"/>
        <v>0</v>
      </c>
      <c r="AC140" s="115">
        <f t="shared" si="8"/>
        <v>0</v>
      </c>
      <c r="AD140" s="115">
        <f t="shared" si="9"/>
        <v>0</v>
      </c>
    </row>
    <row r="141">
      <c r="A141" s="101"/>
      <c r="B141" s="121"/>
      <c r="C141" s="122"/>
      <c r="D141" s="103" t="str">
        <f t="shared" si="1"/>
        <v/>
      </c>
      <c r="E141" s="103" t="str">
        <f t="shared" si="2"/>
        <v/>
      </c>
      <c r="F141" s="103" t="str">
        <f t="shared" si="3"/>
        <v/>
      </c>
      <c r="G141" s="122"/>
      <c r="H141" s="103">
        <f t="shared" si="4"/>
        <v>0</v>
      </c>
      <c r="I141" s="108">
        <f t="shared" si="5"/>
        <v>0</v>
      </c>
      <c r="J141" s="114"/>
      <c r="K141" s="83"/>
      <c r="L141" s="83"/>
      <c r="M141" s="83"/>
      <c r="N141" s="83"/>
      <c r="O141" s="83"/>
      <c r="P141" s="83"/>
      <c r="Q141" s="83"/>
      <c r="R141" s="83"/>
      <c r="S141" s="83"/>
      <c r="T141" s="83"/>
      <c r="U141" s="83"/>
      <c r="V141" s="83"/>
      <c r="W141" s="83"/>
      <c r="X141" s="83"/>
      <c r="Y141" s="83"/>
      <c r="Z141" s="114"/>
      <c r="AA141" s="115" t="str">
        <f t="shared" si="6"/>
        <v/>
      </c>
      <c r="AB141" s="115">
        <f t="shared" si="7"/>
        <v>0</v>
      </c>
      <c r="AC141" s="115">
        <f t="shared" si="8"/>
        <v>0</v>
      </c>
      <c r="AD141" s="115">
        <f t="shared" si="9"/>
        <v>0</v>
      </c>
    </row>
    <row r="142">
      <c r="A142" s="101"/>
      <c r="B142" s="121"/>
      <c r="C142" s="122"/>
      <c r="D142" s="103" t="str">
        <f t="shared" si="1"/>
        <v/>
      </c>
      <c r="E142" s="103" t="str">
        <f t="shared" si="2"/>
        <v/>
      </c>
      <c r="F142" s="103" t="str">
        <f t="shared" si="3"/>
        <v/>
      </c>
      <c r="G142" s="122"/>
      <c r="H142" s="103">
        <f t="shared" si="4"/>
        <v>0</v>
      </c>
      <c r="I142" s="108">
        <f t="shared" si="5"/>
        <v>0</v>
      </c>
      <c r="J142" s="114"/>
      <c r="K142" s="83"/>
      <c r="L142" s="83"/>
      <c r="M142" s="83"/>
      <c r="N142" s="83"/>
      <c r="O142" s="83"/>
      <c r="P142" s="83"/>
      <c r="Q142" s="83"/>
      <c r="R142" s="83"/>
      <c r="S142" s="83"/>
      <c r="T142" s="83"/>
      <c r="U142" s="83"/>
      <c r="V142" s="83"/>
      <c r="W142" s="83"/>
      <c r="X142" s="83"/>
      <c r="Y142" s="83"/>
      <c r="Z142" s="114"/>
      <c r="AA142" s="115" t="str">
        <f t="shared" si="6"/>
        <v/>
      </c>
      <c r="AB142" s="115">
        <f t="shared" si="7"/>
        <v>0</v>
      </c>
      <c r="AC142" s="115">
        <f t="shared" si="8"/>
        <v>0</v>
      </c>
      <c r="AD142" s="115">
        <f t="shared" si="9"/>
        <v>0</v>
      </c>
    </row>
    <row r="143">
      <c r="A143" s="101"/>
      <c r="B143" s="121"/>
      <c r="C143" s="122"/>
      <c r="D143" s="103" t="str">
        <f t="shared" si="1"/>
        <v/>
      </c>
      <c r="E143" s="103" t="str">
        <f t="shared" si="2"/>
        <v/>
      </c>
      <c r="F143" s="103" t="str">
        <f t="shared" si="3"/>
        <v/>
      </c>
      <c r="G143" s="122"/>
      <c r="H143" s="103">
        <f t="shared" si="4"/>
        <v>0</v>
      </c>
      <c r="I143" s="108">
        <f t="shared" si="5"/>
        <v>0</v>
      </c>
      <c r="J143" s="114"/>
      <c r="K143" s="83"/>
      <c r="L143" s="83"/>
      <c r="M143" s="83"/>
      <c r="N143" s="83"/>
      <c r="O143" s="83"/>
      <c r="P143" s="83"/>
      <c r="Q143" s="83"/>
      <c r="R143" s="83"/>
      <c r="S143" s="83"/>
      <c r="T143" s="83"/>
      <c r="U143" s="83"/>
      <c r="V143" s="83"/>
      <c r="W143" s="83"/>
      <c r="X143" s="83"/>
      <c r="Y143" s="83"/>
      <c r="Z143" s="114"/>
      <c r="AA143" s="115" t="str">
        <f t="shared" si="6"/>
        <v/>
      </c>
      <c r="AB143" s="115">
        <f t="shared" si="7"/>
        <v>0</v>
      </c>
      <c r="AC143" s="115">
        <f t="shared" si="8"/>
        <v>0</v>
      </c>
      <c r="AD143" s="115">
        <f t="shared" si="9"/>
        <v>0</v>
      </c>
    </row>
    <row r="144">
      <c r="A144" s="101"/>
      <c r="B144" s="121"/>
      <c r="C144" s="122"/>
      <c r="D144" s="103" t="str">
        <f t="shared" si="1"/>
        <v/>
      </c>
      <c r="E144" s="103" t="str">
        <f t="shared" si="2"/>
        <v/>
      </c>
      <c r="F144" s="103" t="str">
        <f t="shared" si="3"/>
        <v/>
      </c>
      <c r="G144" s="122"/>
      <c r="H144" s="103">
        <f t="shared" si="4"/>
        <v>0</v>
      </c>
      <c r="I144" s="108">
        <f t="shared" si="5"/>
        <v>0</v>
      </c>
      <c r="J144" s="114"/>
      <c r="K144" s="83"/>
      <c r="L144" s="83"/>
      <c r="M144" s="83"/>
      <c r="N144" s="83"/>
      <c r="O144" s="83"/>
      <c r="P144" s="83"/>
      <c r="Q144" s="83"/>
      <c r="R144" s="83"/>
      <c r="S144" s="83"/>
      <c r="T144" s="83"/>
      <c r="U144" s="83"/>
      <c r="V144" s="83"/>
      <c r="W144" s="83"/>
      <c r="X144" s="83"/>
      <c r="Y144" s="83"/>
      <c r="Z144" s="114"/>
      <c r="AA144" s="115" t="str">
        <f t="shared" si="6"/>
        <v/>
      </c>
      <c r="AB144" s="115">
        <f t="shared" si="7"/>
        <v>0</v>
      </c>
      <c r="AC144" s="115">
        <f t="shared" si="8"/>
        <v>0</v>
      </c>
      <c r="AD144" s="115">
        <f t="shared" si="9"/>
        <v>0</v>
      </c>
    </row>
    <row r="145">
      <c r="A145" s="101"/>
      <c r="B145" s="121"/>
      <c r="C145" s="122"/>
      <c r="D145" s="103" t="str">
        <f t="shared" si="1"/>
        <v/>
      </c>
      <c r="E145" s="103" t="str">
        <f t="shared" si="2"/>
        <v/>
      </c>
      <c r="F145" s="103" t="str">
        <f t="shared" si="3"/>
        <v/>
      </c>
      <c r="G145" s="122"/>
      <c r="H145" s="103">
        <f t="shared" si="4"/>
        <v>0</v>
      </c>
      <c r="I145" s="108">
        <f t="shared" si="5"/>
        <v>0</v>
      </c>
      <c r="J145" s="114"/>
      <c r="K145" s="83"/>
      <c r="L145" s="83"/>
      <c r="M145" s="83"/>
      <c r="N145" s="83"/>
      <c r="O145" s="83"/>
      <c r="P145" s="83"/>
      <c r="Q145" s="83"/>
      <c r="R145" s="83"/>
      <c r="S145" s="83"/>
      <c r="T145" s="83"/>
      <c r="U145" s="83"/>
      <c r="V145" s="83"/>
      <c r="W145" s="83"/>
      <c r="X145" s="83"/>
      <c r="Y145" s="83"/>
      <c r="Z145" s="114"/>
      <c r="AA145" s="115" t="str">
        <f t="shared" si="6"/>
        <v/>
      </c>
      <c r="AB145" s="115">
        <f t="shared" si="7"/>
        <v>0</v>
      </c>
      <c r="AC145" s="115">
        <f t="shared" si="8"/>
        <v>0</v>
      </c>
      <c r="AD145" s="115">
        <f t="shared" si="9"/>
        <v>0</v>
      </c>
    </row>
    <row r="146">
      <c r="A146" s="101"/>
      <c r="B146" s="121"/>
      <c r="C146" s="122"/>
      <c r="D146" s="103" t="str">
        <f t="shared" si="1"/>
        <v/>
      </c>
      <c r="E146" s="103" t="str">
        <f t="shared" si="2"/>
        <v/>
      </c>
      <c r="F146" s="103" t="str">
        <f t="shared" si="3"/>
        <v/>
      </c>
      <c r="G146" s="122"/>
      <c r="H146" s="103">
        <f t="shared" si="4"/>
        <v>0</v>
      </c>
      <c r="I146" s="108">
        <f t="shared" si="5"/>
        <v>0</v>
      </c>
      <c r="J146" s="114"/>
      <c r="K146" s="83"/>
      <c r="L146" s="83"/>
      <c r="M146" s="83"/>
      <c r="N146" s="83"/>
      <c r="O146" s="83"/>
      <c r="P146" s="83"/>
      <c r="Q146" s="83"/>
      <c r="R146" s="83"/>
      <c r="S146" s="83"/>
      <c r="T146" s="83"/>
      <c r="U146" s="83"/>
      <c r="V146" s="83"/>
      <c r="W146" s="83"/>
      <c r="X146" s="83"/>
      <c r="Y146" s="83"/>
      <c r="Z146" s="114"/>
      <c r="AA146" s="115" t="str">
        <f t="shared" si="6"/>
        <v/>
      </c>
      <c r="AB146" s="115">
        <f t="shared" si="7"/>
        <v>0</v>
      </c>
      <c r="AC146" s="115">
        <f t="shared" si="8"/>
        <v>0</v>
      </c>
      <c r="AD146" s="115">
        <f t="shared" si="9"/>
        <v>0</v>
      </c>
    </row>
    <row r="147">
      <c r="A147" s="101"/>
      <c r="B147" s="121"/>
      <c r="C147" s="122"/>
      <c r="D147" s="103" t="str">
        <f t="shared" si="1"/>
        <v/>
      </c>
      <c r="E147" s="103" t="str">
        <f t="shared" si="2"/>
        <v/>
      </c>
      <c r="F147" s="103" t="str">
        <f t="shared" si="3"/>
        <v/>
      </c>
      <c r="G147" s="122"/>
      <c r="H147" s="103">
        <f t="shared" si="4"/>
        <v>0</v>
      </c>
      <c r="I147" s="108">
        <f t="shared" si="5"/>
        <v>0</v>
      </c>
      <c r="J147" s="114"/>
      <c r="K147" s="83"/>
      <c r="L147" s="83"/>
      <c r="M147" s="83"/>
      <c r="N147" s="83"/>
      <c r="O147" s="83"/>
      <c r="P147" s="83"/>
      <c r="Q147" s="83"/>
      <c r="R147" s="83"/>
      <c r="S147" s="83"/>
      <c r="T147" s="83"/>
      <c r="U147" s="83"/>
      <c r="V147" s="83"/>
      <c r="W147" s="83"/>
      <c r="X147" s="83"/>
      <c r="Y147" s="83"/>
      <c r="Z147" s="114"/>
      <c r="AA147" s="115" t="str">
        <f t="shared" si="6"/>
        <v/>
      </c>
      <c r="AB147" s="115">
        <f t="shared" si="7"/>
        <v>0</v>
      </c>
      <c r="AC147" s="115">
        <f t="shared" si="8"/>
        <v>0</v>
      </c>
      <c r="AD147" s="115">
        <f t="shared" si="9"/>
        <v>0</v>
      </c>
    </row>
    <row r="148">
      <c r="A148" s="101"/>
      <c r="B148" s="121"/>
      <c r="C148" s="122"/>
      <c r="D148" s="103" t="str">
        <f t="shared" si="1"/>
        <v/>
      </c>
      <c r="E148" s="103" t="str">
        <f t="shared" si="2"/>
        <v/>
      </c>
      <c r="F148" s="103" t="str">
        <f t="shared" si="3"/>
        <v/>
      </c>
      <c r="G148" s="122"/>
      <c r="H148" s="103">
        <f t="shared" si="4"/>
        <v>0</v>
      </c>
      <c r="I148" s="108">
        <f t="shared" si="5"/>
        <v>0</v>
      </c>
      <c r="J148" s="114"/>
      <c r="K148" s="83"/>
      <c r="L148" s="83"/>
      <c r="M148" s="83"/>
      <c r="N148" s="83"/>
      <c r="O148" s="83"/>
      <c r="P148" s="83"/>
      <c r="Q148" s="83"/>
      <c r="R148" s="83"/>
      <c r="S148" s="83"/>
      <c r="T148" s="83"/>
      <c r="U148" s="83"/>
      <c r="V148" s="83"/>
      <c r="W148" s="83"/>
      <c r="X148" s="83"/>
      <c r="Y148" s="83"/>
      <c r="Z148" s="114"/>
      <c r="AA148" s="115" t="str">
        <f t="shared" si="6"/>
        <v/>
      </c>
      <c r="AB148" s="115">
        <f t="shared" si="7"/>
        <v>0</v>
      </c>
      <c r="AC148" s="115">
        <f t="shared" si="8"/>
        <v>0</v>
      </c>
      <c r="AD148" s="115">
        <f t="shared" si="9"/>
        <v>0</v>
      </c>
    </row>
    <row r="149">
      <c r="A149" s="101"/>
      <c r="B149" s="121"/>
      <c r="C149" s="122"/>
      <c r="D149" s="103" t="str">
        <f t="shared" si="1"/>
        <v/>
      </c>
      <c r="E149" s="103" t="str">
        <f t="shared" si="2"/>
        <v/>
      </c>
      <c r="F149" s="103" t="str">
        <f t="shared" si="3"/>
        <v/>
      </c>
      <c r="G149" s="122"/>
      <c r="H149" s="103">
        <f t="shared" si="4"/>
        <v>0</v>
      </c>
      <c r="I149" s="108">
        <f t="shared" si="5"/>
        <v>0</v>
      </c>
      <c r="J149" s="114"/>
      <c r="K149" s="83"/>
      <c r="L149" s="83"/>
      <c r="M149" s="83"/>
      <c r="N149" s="83"/>
      <c r="O149" s="83"/>
      <c r="P149" s="83"/>
      <c r="Q149" s="83"/>
      <c r="R149" s="83"/>
      <c r="S149" s="83"/>
      <c r="T149" s="83"/>
      <c r="U149" s="83"/>
      <c r="V149" s="83"/>
      <c r="W149" s="83"/>
      <c r="X149" s="83"/>
      <c r="Y149" s="83"/>
      <c r="Z149" s="114"/>
      <c r="AA149" s="115" t="str">
        <f t="shared" si="6"/>
        <v/>
      </c>
      <c r="AB149" s="115">
        <f t="shared" si="7"/>
        <v>0</v>
      </c>
      <c r="AC149" s="115">
        <f t="shared" si="8"/>
        <v>0</v>
      </c>
      <c r="AD149" s="115">
        <f t="shared" si="9"/>
        <v>0</v>
      </c>
    </row>
    <row r="150">
      <c r="A150" s="101"/>
      <c r="B150" s="121"/>
      <c r="C150" s="122"/>
      <c r="D150" s="103" t="str">
        <f t="shared" si="1"/>
        <v/>
      </c>
      <c r="E150" s="103" t="str">
        <f t="shared" si="2"/>
        <v/>
      </c>
      <c r="F150" s="103" t="str">
        <f t="shared" si="3"/>
        <v/>
      </c>
      <c r="G150" s="122"/>
      <c r="H150" s="103">
        <f t="shared" si="4"/>
        <v>0</v>
      </c>
      <c r="I150" s="108">
        <f t="shared" si="5"/>
        <v>0</v>
      </c>
      <c r="J150" s="114"/>
      <c r="K150" s="83"/>
      <c r="L150" s="83"/>
      <c r="M150" s="83"/>
      <c r="N150" s="83"/>
      <c r="O150" s="83"/>
      <c r="P150" s="83"/>
      <c r="Q150" s="83"/>
      <c r="R150" s="83"/>
      <c r="S150" s="83"/>
      <c r="T150" s="83"/>
      <c r="U150" s="83"/>
      <c r="V150" s="83"/>
      <c r="W150" s="83"/>
      <c r="X150" s="83"/>
      <c r="Y150" s="83"/>
      <c r="Z150" s="114"/>
      <c r="AA150" s="115" t="str">
        <f t="shared" si="6"/>
        <v/>
      </c>
      <c r="AB150" s="115">
        <f t="shared" si="7"/>
        <v>0</v>
      </c>
      <c r="AC150" s="115">
        <f t="shared" si="8"/>
        <v>0</v>
      </c>
      <c r="AD150" s="115">
        <f t="shared" si="9"/>
        <v>0</v>
      </c>
    </row>
    <row r="151">
      <c r="A151" s="101"/>
      <c r="B151" s="121"/>
      <c r="C151" s="122"/>
      <c r="D151" s="103" t="str">
        <f t="shared" si="1"/>
        <v/>
      </c>
      <c r="E151" s="103" t="str">
        <f t="shared" si="2"/>
        <v/>
      </c>
      <c r="F151" s="103" t="str">
        <f t="shared" si="3"/>
        <v/>
      </c>
      <c r="G151" s="122"/>
      <c r="H151" s="103">
        <f t="shared" si="4"/>
        <v>0</v>
      </c>
      <c r="I151" s="108">
        <f t="shared" si="5"/>
        <v>0</v>
      </c>
      <c r="J151" s="114"/>
      <c r="K151" s="83"/>
      <c r="L151" s="83"/>
      <c r="M151" s="83"/>
      <c r="N151" s="83"/>
      <c r="O151" s="83"/>
      <c r="P151" s="83"/>
      <c r="Q151" s="83"/>
      <c r="R151" s="83"/>
      <c r="S151" s="83"/>
      <c r="T151" s="83"/>
      <c r="U151" s="83"/>
      <c r="V151" s="83"/>
      <c r="W151" s="83"/>
      <c r="X151" s="83"/>
      <c r="Y151" s="83"/>
      <c r="Z151" s="114"/>
      <c r="AA151" s="115" t="str">
        <f t="shared" si="6"/>
        <v/>
      </c>
      <c r="AB151" s="115">
        <f t="shared" si="7"/>
        <v>0</v>
      </c>
      <c r="AC151" s="115">
        <f t="shared" si="8"/>
        <v>0</v>
      </c>
      <c r="AD151" s="115">
        <f t="shared" si="9"/>
        <v>0</v>
      </c>
    </row>
    <row r="152">
      <c r="A152" s="101"/>
      <c r="B152" s="121"/>
      <c r="C152" s="122"/>
      <c r="D152" s="103" t="str">
        <f t="shared" si="1"/>
        <v/>
      </c>
      <c r="E152" s="103" t="str">
        <f t="shared" si="2"/>
        <v/>
      </c>
      <c r="F152" s="103" t="str">
        <f t="shared" si="3"/>
        <v/>
      </c>
      <c r="G152" s="122"/>
      <c r="H152" s="103">
        <f t="shared" si="4"/>
        <v>0</v>
      </c>
      <c r="I152" s="108">
        <f t="shared" si="5"/>
        <v>0</v>
      </c>
      <c r="J152" s="114"/>
      <c r="K152" s="83"/>
      <c r="L152" s="83"/>
      <c r="M152" s="83"/>
      <c r="N152" s="83"/>
      <c r="O152" s="83"/>
      <c r="P152" s="83"/>
      <c r="Q152" s="83"/>
      <c r="R152" s="83"/>
      <c r="S152" s="83"/>
      <c r="T152" s="83"/>
      <c r="U152" s="83"/>
      <c r="V152" s="83"/>
      <c r="W152" s="83"/>
      <c r="X152" s="83"/>
      <c r="Y152" s="83"/>
      <c r="Z152" s="114"/>
      <c r="AA152" s="115" t="str">
        <f t="shared" si="6"/>
        <v/>
      </c>
      <c r="AB152" s="115">
        <f t="shared" si="7"/>
        <v>0</v>
      </c>
      <c r="AC152" s="115">
        <f t="shared" si="8"/>
        <v>0</v>
      </c>
      <c r="AD152" s="115">
        <f t="shared" si="9"/>
        <v>0</v>
      </c>
    </row>
    <row r="153">
      <c r="A153" s="101"/>
      <c r="B153" s="121"/>
      <c r="C153" s="122"/>
      <c r="D153" s="103" t="str">
        <f t="shared" si="1"/>
        <v/>
      </c>
      <c r="E153" s="103" t="str">
        <f t="shared" si="2"/>
        <v/>
      </c>
      <c r="F153" s="103" t="str">
        <f t="shared" si="3"/>
        <v/>
      </c>
      <c r="G153" s="122"/>
      <c r="H153" s="103">
        <f t="shared" si="4"/>
        <v>0</v>
      </c>
      <c r="I153" s="108">
        <f t="shared" si="5"/>
        <v>0</v>
      </c>
      <c r="J153" s="114"/>
      <c r="K153" s="83"/>
      <c r="L153" s="83"/>
      <c r="M153" s="83"/>
      <c r="N153" s="83"/>
      <c r="O153" s="83"/>
      <c r="P153" s="83"/>
      <c r="Q153" s="83"/>
      <c r="R153" s="83"/>
      <c r="S153" s="83"/>
      <c r="T153" s="83"/>
      <c r="U153" s="83"/>
      <c r="V153" s="83"/>
      <c r="W153" s="83"/>
      <c r="X153" s="83"/>
      <c r="Y153" s="83"/>
      <c r="Z153" s="114"/>
      <c r="AA153" s="115" t="str">
        <f t="shared" si="6"/>
        <v/>
      </c>
      <c r="AB153" s="115">
        <f t="shared" si="7"/>
        <v>0</v>
      </c>
      <c r="AC153" s="115">
        <f t="shared" si="8"/>
        <v>0</v>
      </c>
      <c r="AD153" s="115">
        <f t="shared" si="9"/>
        <v>0</v>
      </c>
    </row>
    <row r="154">
      <c r="A154" s="101"/>
      <c r="B154" s="121"/>
      <c r="C154" s="122"/>
      <c r="D154" s="103" t="str">
        <f t="shared" si="1"/>
        <v/>
      </c>
      <c r="E154" s="103" t="str">
        <f t="shared" si="2"/>
        <v/>
      </c>
      <c r="F154" s="103" t="str">
        <f t="shared" si="3"/>
        <v/>
      </c>
      <c r="G154" s="122"/>
      <c r="H154" s="103">
        <f t="shared" si="4"/>
        <v>0</v>
      </c>
      <c r="I154" s="108">
        <f t="shared" si="5"/>
        <v>0</v>
      </c>
      <c r="J154" s="114"/>
      <c r="K154" s="83"/>
      <c r="L154" s="83"/>
      <c r="M154" s="83"/>
      <c r="N154" s="83"/>
      <c r="O154" s="83"/>
      <c r="P154" s="83"/>
      <c r="Q154" s="83"/>
      <c r="R154" s="83"/>
      <c r="S154" s="83"/>
      <c r="T154" s="83"/>
      <c r="U154" s="83"/>
      <c r="V154" s="83"/>
      <c r="W154" s="83"/>
      <c r="X154" s="83"/>
      <c r="Y154" s="83"/>
      <c r="Z154" s="114"/>
      <c r="AA154" s="115" t="str">
        <f t="shared" si="6"/>
        <v/>
      </c>
      <c r="AB154" s="115">
        <f t="shared" si="7"/>
        <v>0</v>
      </c>
      <c r="AC154" s="115">
        <f t="shared" si="8"/>
        <v>0</v>
      </c>
      <c r="AD154" s="115">
        <f t="shared" si="9"/>
        <v>0</v>
      </c>
    </row>
    <row r="155">
      <c r="A155" s="101"/>
      <c r="B155" s="121"/>
      <c r="C155" s="122"/>
      <c r="D155" s="103" t="str">
        <f t="shared" si="1"/>
        <v/>
      </c>
      <c r="E155" s="103" t="str">
        <f t="shared" si="2"/>
        <v/>
      </c>
      <c r="F155" s="103" t="str">
        <f t="shared" si="3"/>
        <v/>
      </c>
      <c r="G155" s="122"/>
      <c r="H155" s="103">
        <f t="shared" si="4"/>
        <v>0</v>
      </c>
      <c r="I155" s="108">
        <f t="shared" si="5"/>
        <v>0</v>
      </c>
      <c r="J155" s="114"/>
      <c r="K155" s="83"/>
      <c r="L155" s="83"/>
      <c r="M155" s="83"/>
      <c r="N155" s="83"/>
      <c r="O155" s="83"/>
      <c r="P155" s="83"/>
      <c r="Q155" s="83"/>
      <c r="R155" s="83"/>
      <c r="S155" s="83"/>
      <c r="T155" s="83"/>
      <c r="U155" s="83"/>
      <c r="V155" s="83"/>
      <c r="W155" s="83"/>
      <c r="X155" s="83"/>
      <c r="Y155" s="83"/>
      <c r="Z155" s="114"/>
      <c r="AA155" s="115" t="str">
        <f t="shared" si="6"/>
        <v/>
      </c>
      <c r="AB155" s="115">
        <f t="shared" si="7"/>
        <v>0</v>
      </c>
      <c r="AC155" s="115">
        <f t="shared" si="8"/>
        <v>0</v>
      </c>
      <c r="AD155" s="115">
        <f t="shared" si="9"/>
        <v>0</v>
      </c>
    </row>
    <row r="156">
      <c r="A156" s="101"/>
      <c r="B156" s="121"/>
      <c r="C156" s="122"/>
      <c r="D156" s="103" t="str">
        <f t="shared" si="1"/>
        <v/>
      </c>
      <c r="E156" s="103" t="str">
        <f t="shared" si="2"/>
        <v/>
      </c>
      <c r="F156" s="103" t="str">
        <f t="shared" si="3"/>
        <v/>
      </c>
      <c r="G156" s="122"/>
      <c r="H156" s="103">
        <f t="shared" si="4"/>
        <v>0</v>
      </c>
      <c r="I156" s="108">
        <f t="shared" si="5"/>
        <v>0</v>
      </c>
      <c r="J156" s="114"/>
      <c r="K156" s="83"/>
      <c r="L156" s="83"/>
      <c r="M156" s="83"/>
      <c r="N156" s="83"/>
      <c r="O156" s="83"/>
      <c r="P156" s="83"/>
      <c r="Q156" s="83"/>
      <c r="R156" s="83"/>
      <c r="S156" s="83"/>
      <c r="T156" s="83"/>
      <c r="U156" s="83"/>
      <c r="V156" s="83"/>
      <c r="W156" s="83"/>
      <c r="X156" s="83"/>
      <c r="Y156" s="83"/>
      <c r="Z156" s="114"/>
      <c r="AA156" s="115" t="str">
        <f t="shared" si="6"/>
        <v/>
      </c>
      <c r="AB156" s="115">
        <f t="shared" si="7"/>
        <v>0</v>
      </c>
      <c r="AC156" s="115">
        <f t="shared" si="8"/>
        <v>0</v>
      </c>
      <c r="AD156" s="115">
        <f t="shared" si="9"/>
        <v>0</v>
      </c>
    </row>
    <row r="157">
      <c r="A157" s="101"/>
      <c r="B157" s="121"/>
      <c r="C157" s="122"/>
      <c r="D157" s="103" t="str">
        <f t="shared" si="1"/>
        <v/>
      </c>
      <c r="E157" s="103" t="str">
        <f t="shared" si="2"/>
        <v/>
      </c>
      <c r="F157" s="103" t="str">
        <f t="shared" si="3"/>
        <v/>
      </c>
      <c r="G157" s="122"/>
      <c r="H157" s="103">
        <f t="shared" si="4"/>
        <v>0</v>
      </c>
      <c r="I157" s="108">
        <f t="shared" si="5"/>
        <v>0</v>
      </c>
      <c r="J157" s="114"/>
      <c r="K157" s="83"/>
      <c r="L157" s="83"/>
      <c r="M157" s="83"/>
      <c r="N157" s="83"/>
      <c r="O157" s="83"/>
      <c r="P157" s="83"/>
      <c r="Q157" s="83"/>
      <c r="R157" s="83"/>
      <c r="S157" s="83"/>
      <c r="T157" s="83"/>
      <c r="U157" s="83"/>
      <c r="V157" s="83"/>
      <c r="W157" s="83"/>
      <c r="X157" s="83"/>
      <c r="Y157" s="83"/>
      <c r="Z157" s="114"/>
      <c r="AA157" s="115" t="str">
        <f t="shared" si="6"/>
        <v/>
      </c>
      <c r="AB157" s="115">
        <f t="shared" si="7"/>
        <v>0</v>
      </c>
      <c r="AC157" s="115">
        <f t="shared" si="8"/>
        <v>0</v>
      </c>
      <c r="AD157" s="115">
        <f t="shared" si="9"/>
        <v>0</v>
      </c>
    </row>
    <row r="158">
      <c r="A158" s="101"/>
      <c r="B158" s="121"/>
      <c r="C158" s="122"/>
      <c r="D158" s="103" t="str">
        <f t="shared" si="1"/>
        <v/>
      </c>
      <c r="E158" s="103" t="str">
        <f t="shared" si="2"/>
        <v/>
      </c>
      <c r="F158" s="103" t="str">
        <f t="shared" si="3"/>
        <v/>
      </c>
      <c r="G158" s="122"/>
      <c r="H158" s="103">
        <f t="shared" si="4"/>
        <v>0</v>
      </c>
      <c r="I158" s="108">
        <f t="shared" si="5"/>
        <v>0</v>
      </c>
      <c r="J158" s="114"/>
      <c r="K158" s="83"/>
      <c r="L158" s="83"/>
      <c r="M158" s="83"/>
      <c r="N158" s="83"/>
      <c r="O158" s="83"/>
      <c r="P158" s="83"/>
      <c r="Q158" s="83"/>
      <c r="R158" s="83"/>
      <c r="S158" s="83"/>
      <c r="T158" s="83"/>
      <c r="U158" s="83"/>
      <c r="V158" s="83"/>
      <c r="W158" s="83"/>
      <c r="X158" s="83"/>
      <c r="Y158" s="83"/>
      <c r="Z158" s="114"/>
      <c r="AA158" s="115" t="str">
        <f t="shared" si="6"/>
        <v/>
      </c>
      <c r="AB158" s="115">
        <f t="shared" si="7"/>
        <v>0</v>
      </c>
      <c r="AC158" s="115">
        <f t="shared" si="8"/>
        <v>0</v>
      </c>
      <c r="AD158" s="115">
        <f t="shared" si="9"/>
        <v>0</v>
      </c>
    </row>
    <row r="159">
      <c r="A159" s="101"/>
      <c r="B159" s="121"/>
      <c r="C159" s="122"/>
      <c r="D159" s="103" t="str">
        <f t="shared" si="1"/>
        <v/>
      </c>
      <c r="E159" s="103" t="str">
        <f t="shared" si="2"/>
        <v/>
      </c>
      <c r="F159" s="103" t="str">
        <f t="shared" si="3"/>
        <v/>
      </c>
      <c r="G159" s="122"/>
      <c r="H159" s="103">
        <f t="shared" si="4"/>
        <v>0</v>
      </c>
      <c r="I159" s="108">
        <f t="shared" si="5"/>
        <v>0</v>
      </c>
      <c r="J159" s="114"/>
      <c r="K159" s="83"/>
      <c r="L159" s="83"/>
      <c r="M159" s="83"/>
      <c r="N159" s="83"/>
      <c r="O159" s="83"/>
      <c r="P159" s="83"/>
      <c r="Q159" s="83"/>
      <c r="R159" s="83"/>
      <c r="S159" s="83"/>
      <c r="T159" s="83"/>
      <c r="U159" s="83"/>
      <c r="V159" s="83"/>
      <c r="W159" s="83"/>
      <c r="X159" s="83"/>
      <c r="Y159" s="83"/>
      <c r="Z159" s="114"/>
      <c r="AA159" s="115" t="str">
        <f t="shared" si="6"/>
        <v/>
      </c>
      <c r="AB159" s="115">
        <f t="shared" si="7"/>
        <v>0</v>
      </c>
      <c r="AC159" s="115">
        <f t="shared" si="8"/>
        <v>0</v>
      </c>
      <c r="AD159" s="115">
        <f t="shared" si="9"/>
        <v>0</v>
      </c>
    </row>
    <row r="160">
      <c r="A160" s="101"/>
      <c r="B160" s="121"/>
      <c r="C160" s="122"/>
      <c r="D160" s="103" t="str">
        <f t="shared" si="1"/>
        <v/>
      </c>
      <c r="E160" s="103" t="str">
        <f t="shared" si="2"/>
        <v/>
      </c>
      <c r="F160" s="103" t="str">
        <f t="shared" si="3"/>
        <v/>
      </c>
      <c r="G160" s="122"/>
      <c r="H160" s="103">
        <f t="shared" si="4"/>
        <v>0</v>
      </c>
      <c r="I160" s="108">
        <f t="shared" si="5"/>
        <v>0</v>
      </c>
      <c r="J160" s="114"/>
      <c r="K160" s="83"/>
      <c r="L160" s="83"/>
      <c r="M160" s="83"/>
      <c r="N160" s="83"/>
      <c r="O160" s="83"/>
      <c r="P160" s="83"/>
      <c r="Q160" s="83"/>
      <c r="R160" s="83"/>
      <c r="S160" s="83"/>
      <c r="T160" s="83"/>
      <c r="U160" s="83"/>
      <c r="V160" s="83"/>
      <c r="W160" s="83"/>
      <c r="X160" s="83"/>
      <c r="Y160" s="83"/>
      <c r="Z160" s="114"/>
      <c r="AA160" s="115" t="str">
        <f t="shared" si="6"/>
        <v/>
      </c>
      <c r="AB160" s="115">
        <f t="shared" si="7"/>
        <v>0</v>
      </c>
      <c r="AC160" s="115">
        <f t="shared" si="8"/>
        <v>0</v>
      </c>
      <c r="AD160" s="115">
        <f t="shared" si="9"/>
        <v>0</v>
      </c>
    </row>
    <row r="161">
      <c r="A161" s="101"/>
      <c r="B161" s="121"/>
      <c r="C161" s="122"/>
      <c r="D161" s="103" t="str">
        <f t="shared" si="1"/>
        <v/>
      </c>
      <c r="E161" s="103" t="str">
        <f t="shared" si="2"/>
        <v/>
      </c>
      <c r="F161" s="103" t="str">
        <f t="shared" si="3"/>
        <v/>
      </c>
      <c r="G161" s="122"/>
      <c r="H161" s="103">
        <f t="shared" si="4"/>
        <v>0</v>
      </c>
      <c r="I161" s="108">
        <f t="shared" si="5"/>
        <v>0</v>
      </c>
      <c r="J161" s="114"/>
      <c r="K161" s="83"/>
      <c r="L161" s="83"/>
      <c r="M161" s="83"/>
      <c r="N161" s="83"/>
      <c r="O161" s="83"/>
      <c r="P161" s="83"/>
      <c r="Q161" s="83"/>
      <c r="R161" s="83"/>
      <c r="S161" s="83"/>
      <c r="T161" s="83"/>
      <c r="U161" s="83"/>
      <c r="V161" s="83"/>
      <c r="W161" s="83"/>
      <c r="X161" s="83"/>
      <c r="Y161" s="83"/>
      <c r="Z161" s="114"/>
      <c r="AA161" s="115" t="str">
        <f t="shared" si="6"/>
        <v/>
      </c>
      <c r="AB161" s="115">
        <f t="shared" si="7"/>
        <v>0</v>
      </c>
      <c r="AC161" s="115">
        <f t="shared" si="8"/>
        <v>0</v>
      </c>
      <c r="AD161" s="115">
        <f t="shared" si="9"/>
        <v>0</v>
      </c>
    </row>
    <row r="162">
      <c r="A162" s="101"/>
      <c r="B162" s="121"/>
      <c r="C162" s="122"/>
      <c r="D162" s="103" t="str">
        <f t="shared" si="1"/>
        <v/>
      </c>
      <c r="E162" s="103" t="str">
        <f t="shared" si="2"/>
        <v/>
      </c>
      <c r="F162" s="103" t="str">
        <f t="shared" si="3"/>
        <v/>
      </c>
      <c r="G162" s="122"/>
      <c r="H162" s="103">
        <f t="shared" si="4"/>
        <v>0</v>
      </c>
      <c r="I162" s="108">
        <f t="shared" si="5"/>
        <v>0</v>
      </c>
      <c r="J162" s="114"/>
      <c r="K162" s="83"/>
      <c r="L162" s="83"/>
      <c r="M162" s="83"/>
      <c r="N162" s="83"/>
      <c r="O162" s="83"/>
      <c r="P162" s="83"/>
      <c r="Q162" s="83"/>
      <c r="R162" s="83"/>
      <c r="S162" s="83"/>
      <c r="T162" s="83"/>
      <c r="U162" s="83"/>
      <c r="V162" s="83"/>
      <c r="W162" s="83"/>
      <c r="X162" s="83"/>
      <c r="Y162" s="83"/>
      <c r="Z162" s="114"/>
      <c r="AA162" s="115" t="str">
        <f t="shared" si="6"/>
        <v/>
      </c>
      <c r="AB162" s="115">
        <f t="shared" si="7"/>
        <v>0</v>
      </c>
      <c r="AC162" s="115">
        <f t="shared" si="8"/>
        <v>0</v>
      </c>
      <c r="AD162" s="115">
        <f t="shared" si="9"/>
        <v>0</v>
      </c>
    </row>
    <row r="163">
      <c r="A163" s="101"/>
      <c r="B163" s="121"/>
      <c r="C163" s="122"/>
      <c r="D163" s="103" t="str">
        <f t="shared" si="1"/>
        <v/>
      </c>
      <c r="E163" s="103" t="str">
        <f t="shared" si="2"/>
        <v/>
      </c>
      <c r="F163" s="103" t="str">
        <f t="shared" si="3"/>
        <v/>
      </c>
      <c r="G163" s="122"/>
      <c r="H163" s="103">
        <f t="shared" si="4"/>
        <v>0</v>
      </c>
      <c r="I163" s="108">
        <f t="shared" si="5"/>
        <v>0</v>
      </c>
      <c r="J163" s="114"/>
      <c r="K163" s="83"/>
      <c r="L163" s="83"/>
      <c r="M163" s="83"/>
      <c r="N163" s="83"/>
      <c r="O163" s="83"/>
      <c r="P163" s="83"/>
      <c r="Q163" s="83"/>
      <c r="R163" s="83"/>
      <c r="S163" s="83"/>
      <c r="T163" s="83"/>
      <c r="U163" s="83"/>
      <c r="V163" s="83"/>
      <c r="W163" s="83"/>
      <c r="X163" s="83"/>
      <c r="Y163" s="83"/>
      <c r="Z163" s="114"/>
      <c r="AA163" s="115" t="str">
        <f t="shared" si="6"/>
        <v/>
      </c>
      <c r="AB163" s="115">
        <f t="shared" si="7"/>
        <v>0</v>
      </c>
      <c r="AC163" s="115">
        <f t="shared" si="8"/>
        <v>0</v>
      </c>
      <c r="AD163" s="115">
        <f t="shared" si="9"/>
        <v>0</v>
      </c>
    </row>
    <row r="164">
      <c r="A164" s="101"/>
      <c r="B164" s="121"/>
      <c r="C164" s="122"/>
      <c r="D164" s="103" t="str">
        <f t="shared" si="1"/>
        <v/>
      </c>
      <c r="E164" s="103" t="str">
        <f t="shared" si="2"/>
        <v/>
      </c>
      <c r="F164" s="103" t="str">
        <f t="shared" si="3"/>
        <v/>
      </c>
      <c r="G164" s="122"/>
      <c r="H164" s="103">
        <f t="shared" si="4"/>
        <v>0</v>
      </c>
      <c r="I164" s="108">
        <f t="shared" si="5"/>
        <v>0</v>
      </c>
      <c r="J164" s="114"/>
      <c r="K164" s="83"/>
      <c r="L164" s="83"/>
      <c r="M164" s="83"/>
      <c r="N164" s="83"/>
      <c r="O164" s="83"/>
      <c r="P164" s="83"/>
      <c r="Q164" s="83"/>
      <c r="R164" s="83"/>
      <c r="S164" s="83"/>
      <c r="T164" s="83"/>
      <c r="U164" s="83"/>
      <c r="V164" s="83"/>
      <c r="W164" s="83"/>
      <c r="X164" s="83"/>
      <c r="Y164" s="83"/>
      <c r="Z164" s="114"/>
      <c r="AA164" s="115" t="str">
        <f t="shared" si="6"/>
        <v/>
      </c>
      <c r="AB164" s="115">
        <f t="shared" si="7"/>
        <v>0</v>
      </c>
      <c r="AC164" s="115">
        <f t="shared" si="8"/>
        <v>0</v>
      </c>
      <c r="AD164" s="115">
        <f t="shared" si="9"/>
        <v>0</v>
      </c>
    </row>
    <row r="165">
      <c r="A165" s="101"/>
      <c r="B165" s="121"/>
      <c r="C165" s="122"/>
      <c r="D165" s="103" t="str">
        <f t="shared" si="1"/>
        <v/>
      </c>
      <c r="E165" s="103" t="str">
        <f t="shared" si="2"/>
        <v/>
      </c>
      <c r="F165" s="103" t="str">
        <f t="shared" si="3"/>
        <v/>
      </c>
      <c r="G165" s="122"/>
      <c r="H165" s="103">
        <f t="shared" si="4"/>
        <v>0</v>
      </c>
      <c r="I165" s="108">
        <f t="shared" si="5"/>
        <v>0</v>
      </c>
      <c r="J165" s="114"/>
      <c r="K165" s="83"/>
      <c r="L165" s="83"/>
      <c r="M165" s="83"/>
      <c r="N165" s="83"/>
      <c r="O165" s="83"/>
      <c r="P165" s="83"/>
      <c r="Q165" s="83"/>
      <c r="R165" s="83"/>
      <c r="S165" s="83"/>
      <c r="T165" s="83"/>
      <c r="U165" s="83"/>
      <c r="V165" s="83"/>
      <c r="W165" s="83"/>
      <c r="X165" s="83"/>
      <c r="Y165" s="83"/>
      <c r="Z165" s="114"/>
      <c r="AA165" s="115" t="str">
        <f t="shared" si="6"/>
        <v/>
      </c>
      <c r="AB165" s="115">
        <f t="shared" si="7"/>
        <v>0</v>
      </c>
      <c r="AC165" s="115">
        <f t="shared" si="8"/>
        <v>0</v>
      </c>
      <c r="AD165" s="115">
        <f t="shared" si="9"/>
        <v>0</v>
      </c>
    </row>
    <row r="166">
      <c r="A166" s="101"/>
      <c r="B166" s="121"/>
      <c r="C166" s="122"/>
      <c r="D166" s="103" t="str">
        <f t="shared" si="1"/>
        <v/>
      </c>
      <c r="E166" s="103" t="str">
        <f t="shared" si="2"/>
        <v/>
      </c>
      <c r="F166" s="103" t="str">
        <f t="shared" si="3"/>
        <v/>
      </c>
      <c r="G166" s="122"/>
      <c r="H166" s="103">
        <f t="shared" si="4"/>
        <v>0</v>
      </c>
      <c r="I166" s="108">
        <f t="shared" si="5"/>
        <v>0</v>
      </c>
      <c r="J166" s="114"/>
      <c r="K166" s="83"/>
      <c r="L166" s="83"/>
      <c r="M166" s="83"/>
      <c r="N166" s="83"/>
      <c r="O166" s="83"/>
      <c r="P166" s="83"/>
      <c r="Q166" s="83"/>
      <c r="R166" s="83"/>
      <c r="S166" s="83"/>
      <c r="T166" s="83"/>
      <c r="U166" s="83"/>
      <c r="V166" s="83"/>
      <c r="W166" s="83"/>
      <c r="X166" s="83"/>
      <c r="Y166" s="83"/>
      <c r="Z166" s="114"/>
      <c r="AA166" s="115" t="str">
        <f t="shared" si="6"/>
        <v/>
      </c>
      <c r="AB166" s="115">
        <f t="shared" si="7"/>
        <v>0</v>
      </c>
      <c r="AC166" s="115">
        <f t="shared" si="8"/>
        <v>0</v>
      </c>
      <c r="AD166" s="115">
        <f t="shared" si="9"/>
        <v>0</v>
      </c>
    </row>
    <row r="167">
      <c r="A167" s="101"/>
      <c r="B167" s="121"/>
      <c r="C167" s="122"/>
      <c r="D167" s="103" t="str">
        <f t="shared" si="1"/>
        <v/>
      </c>
      <c r="E167" s="103" t="str">
        <f t="shared" si="2"/>
        <v/>
      </c>
      <c r="F167" s="103" t="str">
        <f t="shared" si="3"/>
        <v/>
      </c>
      <c r="G167" s="122"/>
      <c r="H167" s="103">
        <f t="shared" si="4"/>
        <v>0</v>
      </c>
      <c r="I167" s="108">
        <f t="shared" si="5"/>
        <v>0</v>
      </c>
      <c r="J167" s="114"/>
      <c r="K167" s="83"/>
      <c r="L167" s="83"/>
      <c r="M167" s="83"/>
      <c r="N167" s="83"/>
      <c r="O167" s="83"/>
      <c r="P167" s="83"/>
      <c r="Q167" s="83"/>
      <c r="R167" s="83"/>
      <c r="S167" s="83"/>
      <c r="T167" s="83"/>
      <c r="U167" s="83"/>
      <c r="V167" s="83"/>
      <c r="W167" s="83"/>
      <c r="X167" s="83"/>
      <c r="Y167" s="83"/>
      <c r="Z167" s="114"/>
      <c r="AA167" s="115" t="str">
        <f t="shared" si="6"/>
        <v/>
      </c>
      <c r="AB167" s="115">
        <f t="shared" si="7"/>
        <v>0</v>
      </c>
      <c r="AC167" s="115">
        <f t="shared" si="8"/>
        <v>0</v>
      </c>
      <c r="AD167" s="115">
        <f t="shared" si="9"/>
        <v>0</v>
      </c>
    </row>
    <row r="168">
      <c r="A168" s="101"/>
      <c r="B168" s="121"/>
      <c r="C168" s="122"/>
      <c r="D168" s="103" t="str">
        <f t="shared" si="1"/>
        <v/>
      </c>
      <c r="E168" s="103" t="str">
        <f t="shared" si="2"/>
        <v/>
      </c>
      <c r="F168" s="103" t="str">
        <f t="shared" si="3"/>
        <v/>
      </c>
      <c r="G168" s="122"/>
      <c r="H168" s="103">
        <f t="shared" si="4"/>
        <v>0</v>
      </c>
      <c r="I168" s="108">
        <f t="shared" si="5"/>
        <v>0</v>
      </c>
      <c r="J168" s="114"/>
      <c r="K168" s="83"/>
      <c r="L168" s="83"/>
      <c r="M168" s="83"/>
      <c r="N168" s="83"/>
      <c r="O168" s="83"/>
      <c r="P168" s="83"/>
      <c r="Q168" s="83"/>
      <c r="R168" s="83"/>
      <c r="S168" s="83"/>
      <c r="T168" s="83"/>
      <c r="U168" s="83"/>
      <c r="V168" s="83"/>
      <c r="W168" s="83"/>
      <c r="X168" s="83"/>
      <c r="Y168" s="83"/>
      <c r="Z168" s="114"/>
      <c r="AA168" s="115" t="str">
        <f t="shared" si="6"/>
        <v/>
      </c>
      <c r="AB168" s="115">
        <f t="shared" si="7"/>
        <v>0</v>
      </c>
      <c r="AC168" s="115">
        <f t="shared" si="8"/>
        <v>0</v>
      </c>
      <c r="AD168" s="115">
        <f t="shared" si="9"/>
        <v>0</v>
      </c>
    </row>
    <row r="169">
      <c r="A169" s="101"/>
      <c r="B169" s="121"/>
      <c r="C169" s="122"/>
      <c r="D169" s="103" t="str">
        <f t="shared" si="1"/>
        <v/>
      </c>
      <c r="E169" s="103" t="str">
        <f t="shared" si="2"/>
        <v/>
      </c>
      <c r="F169" s="103" t="str">
        <f t="shared" si="3"/>
        <v/>
      </c>
      <c r="G169" s="122"/>
      <c r="H169" s="103">
        <f t="shared" si="4"/>
        <v>0</v>
      </c>
      <c r="I169" s="108">
        <f t="shared" si="5"/>
        <v>0</v>
      </c>
      <c r="J169" s="114"/>
      <c r="K169" s="83"/>
      <c r="L169" s="83"/>
      <c r="M169" s="83"/>
      <c r="N169" s="83"/>
      <c r="O169" s="83"/>
      <c r="P169" s="83"/>
      <c r="Q169" s="83"/>
      <c r="R169" s="83"/>
      <c r="S169" s="83"/>
      <c r="T169" s="83"/>
      <c r="U169" s="83"/>
      <c r="V169" s="83"/>
      <c r="W169" s="83"/>
      <c r="X169" s="83"/>
      <c r="Y169" s="83"/>
      <c r="Z169" s="114"/>
      <c r="AA169" s="115" t="str">
        <f t="shared" si="6"/>
        <v/>
      </c>
      <c r="AB169" s="115">
        <f t="shared" si="7"/>
        <v>0</v>
      </c>
      <c r="AC169" s="115">
        <f t="shared" si="8"/>
        <v>0</v>
      </c>
      <c r="AD169" s="115">
        <f t="shared" si="9"/>
        <v>0</v>
      </c>
    </row>
    <row r="170">
      <c r="A170" s="101"/>
      <c r="B170" s="121"/>
      <c r="C170" s="122"/>
      <c r="D170" s="103" t="str">
        <f t="shared" si="1"/>
        <v/>
      </c>
      <c r="E170" s="103" t="str">
        <f t="shared" si="2"/>
        <v/>
      </c>
      <c r="F170" s="103" t="str">
        <f t="shared" si="3"/>
        <v/>
      </c>
      <c r="G170" s="122"/>
      <c r="H170" s="103">
        <f t="shared" si="4"/>
        <v>0</v>
      </c>
      <c r="I170" s="108">
        <f t="shared" si="5"/>
        <v>0</v>
      </c>
      <c r="J170" s="114"/>
      <c r="K170" s="83"/>
      <c r="L170" s="83"/>
      <c r="M170" s="83"/>
      <c r="N170" s="83"/>
      <c r="O170" s="83"/>
      <c r="P170" s="83"/>
      <c r="Q170" s="83"/>
      <c r="R170" s="83"/>
      <c r="S170" s="83"/>
      <c r="T170" s="83"/>
      <c r="U170" s="83"/>
      <c r="V170" s="83"/>
      <c r="W170" s="83"/>
      <c r="X170" s="83"/>
      <c r="Y170" s="83"/>
      <c r="Z170" s="114"/>
      <c r="AA170" s="115" t="str">
        <f t="shared" si="6"/>
        <v/>
      </c>
      <c r="AB170" s="115">
        <f t="shared" si="7"/>
        <v>0</v>
      </c>
      <c r="AC170" s="115">
        <f t="shared" si="8"/>
        <v>0</v>
      </c>
      <c r="AD170" s="115">
        <f t="shared" si="9"/>
        <v>0</v>
      </c>
    </row>
    <row r="171">
      <c r="A171" s="101"/>
      <c r="B171" s="121"/>
      <c r="C171" s="122"/>
      <c r="D171" s="103" t="str">
        <f t="shared" si="1"/>
        <v/>
      </c>
      <c r="E171" s="103" t="str">
        <f t="shared" si="2"/>
        <v/>
      </c>
      <c r="F171" s="103" t="str">
        <f t="shared" si="3"/>
        <v/>
      </c>
      <c r="G171" s="122"/>
      <c r="H171" s="103">
        <f t="shared" si="4"/>
        <v>0</v>
      </c>
      <c r="I171" s="108">
        <f t="shared" si="5"/>
        <v>0</v>
      </c>
      <c r="J171" s="114"/>
      <c r="K171" s="83"/>
      <c r="L171" s="83"/>
      <c r="M171" s="83"/>
      <c r="N171" s="83"/>
      <c r="O171" s="83"/>
      <c r="P171" s="83"/>
      <c r="Q171" s="83"/>
      <c r="R171" s="83"/>
      <c r="S171" s="83"/>
      <c r="T171" s="83"/>
      <c r="U171" s="83"/>
      <c r="V171" s="83"/>
      <c r="W171" s="83"/>
      <c r="X171" s="83"/>
      <c r="Y171" s="83"/>
      <c r="Z171" s="114"/>
      <c r="AA171" s="115" t="str">
        <f t="shared" si="6"/>
        <v/>
      </c>
      <c r="AB171" s="115">
        <f t="shared" si="7"/>
        <v>0</v>
      </c>
      <c r="AC171" s="115">
        <f t="shared" si="8"/>
        <v>0</v>
      </c>
      <c r="AD171" s="115">
        <f t="shared" si="9"/>
        <v>0</v>
      </c>
    </row>
    <row r="172">
      <c r="A172" s="101"/>
      <c r="B172" s="121"/>
      <c r="C172" s="122"/>
      <c r="D172" s="103" t="str">
        <f t="shared" si="1"/>
        <v/>
      </c>
      <c r="E172" s="103" t="str">
        <f t="shared" si="2"/>
        <v/>
      </c>
      <c r="F172" s="103" t="str">
        <f t="shared" si="3"/>
        <v/>
      </c>
      <c r="G172" s="122"/>
      <c r="H172" s="103">
        <f t="shared" si="4"/>
        <v>0</v>
      </c>
      <c r="I172" s="108">
        <f t="shared" si="5"/>
        <v>0</v>
      </c>
      <c r="J172" s="114"/>
      <c r="K172" s="83"/>
      <c r="L172" s="83"/>
      <c r="M172" s="83"/>
      <c r="N172" s="83"/>
      <c r="O172" s="83"/>
      <c r="P172" s="83"/>
      <c r="Q172" s="83"/>
      <c r="R172" s="83"/>
      <c r="S172" s="83"/>
      <c r="T172" s="83"/>
      <c r="U172" s="83"/>
      <c r="V172" s="83"/>
      <c r="W172" s="83"/>
      <c r="X172" s="83"/>
      <c r="Y172" s="83"/>
      <c r="Z172" s="114"/>
      <c r="AA172" s="115" t="str">
        <f t="shared" si="6"/>
        <v/>
      </c>
      <c r="AB172" s="115">
        <f t="shared" si="7"/>
        <v>0</v>
      </c>
      <c r="AC172" s="115">
        <f t="shared" si="8"/>
        <v>0</v>
      </c>
      <c r="AD172" s="115">
        <f t="shared" si="9"/>
        <v>0</v>
      </c>
    </row>
    <row r="173">
      <c r="A173" s="101"/>
      <c r="B173" s="121"/>
      <c r="C173" s="122"/>
      <c r="D173" s="103" t="str">
        <f t="shared" si="1"/>
        <v/>
      </c>
      <c r="E173" s="103" t="str">
        <f t="shared" si="2"/>
        <v/>
      </c>
      <c r="F173" s="103" t="str">
        <f t="shared" si="3"/>
        <v/>
      </c>
      <c r="G173" s="122"/>
      <c r="H173" s="103">
        <f t="shared" si="4"/>
        <v>0</v>
      </c>
      <c r="I173" s="108">
        <f t="shared" si="5"/>
        <v>0</v>
      </c>
      <c r="J173" s="114"/>
      <c r="K173" s="83"/>
      <c r="L173" s="83"/>
      <c r="M173" s="83"/>
      <c r="N173" s="83"/>
      <c r="O173" s="83"/>
      <c r="P173" s="83"/>
      <c r="Q173" s="83"/>
      <c r="R173" s="83"/>
      <c r="S173" s="83"/>
      <c r="T173" s="83"/>
      <c r="U173" s="83"/>
      <c r="V173" s="83"/>
      <c r="W173" s="83"/>
      <c r="X173" s="83"/>
      <c r="Y173" s="83"/>
      <c r="Z173" s="114"/>
      <c r="AA173" s="115" t="str">
        <f t="shared" si="6"/>
        <v/>
      </c>
      <c r="AB173" s="115">
        <f t="shared" si="7"/>
        <v>0</v>
      </c>
      <c r="AC173" s="115">
        <f t="shared" si="8"/>
        <v>0</v>
      </c>
      <c r="AD173" s="115">
        <f t="shared" si="9"/>
        <v>0</v>
      </c>
    </row>
    <row r="174">
      <c r="A174" s="101"/>
      <c r="B174" s="121"/>
      <c r="C174" s="122"/>
      <c r="D174" s="103" t="str">
        <f t="shared" si="1"/>
        <v/>
      </c>
      <c r="E174" s="103" t="str">
        <f t="shared" si="2"/>
        <v/>
      </c>
      <c r="F174" s="103" t="str">
        <f t="shared" si="3"/>
        <v/>
      </c>
      <c r="G174" s="122"/>
      <c r="H174" s="103">
        <f t="shared" si="4"/>
        <v>0</v>
      </c>
      <c r="I174" s="108">
        <f t="shared" si="5"/>
        <v>0</v>
      </c>
      <c r="J174" s="114"/>
      <c r="K174" s="83"/>
      <c r="L174" s="83"/>
      <c r="M174" s="83"/>
      <c r="N174" s="83"/>
      <c r="O174" s="83"/>
      <c r="P174" s="83"/>
      <c r="Q174" s="83"/>
      <c r="R174" s="83"/>
      <c r="S174" s="83"/>
      <c r="T174" s="83"/>
      <c r="U174" s="83"/>
      <c r="V174" s="83"/>
      <c r="W174" s="83"/>
      <c r="X174" s="83"/>
      <c r="Y174" s="83"/>
      <c r="Z174" s="114"/>
      <c r="AA174" s="115" t="str">
        <f t="shared" si="6"/>
        <v/>
      </c>
      <c r="AB174" s="115">
        <f t="shared" si="7"/>
        <v>0</v>
      </c>
      <c r="AC174" s="115">
        <f t="shared" si="8"/>
        <v>0</v>
      </c>
      <c r="AD174" s="115">
        <f t="shared" si="9"/>
        <v>0</v>
      </c>
    </row>
    <row r="175">
      <c r="A175" s="101"/>
      <c r="B175" s="121"/>
      <c r="C175" s="122"/>
      <c r="D175" s="103" t="str">
        <f t="shared" si="1"/>
        <v/>
      </c>
      <c r="E175" s="103" t="str">
        <f t="shared" si="2"/>
        <v/>
      </c>
      <c r="F175" s="103" t="str">
        <f t="shared" si="3"/>
        <v/>
      </c>
      <c r="G175" s="122"/>
      <c r="H175" s="103">
        <f t="shared" si="4"/>
        <v>0</v>
      </c>
      <c r="I175" s="108">
        <f t="shared" si="5"/>
        <v>0</v>
      </c>
      <c r="J175" s="114"/>
      <c r="K175" s="83"/>
      <c r="L175" s="83"/>
      <c r="M175" s="83"/>
      <c r="N175" s="83"/>
      <c r="O175" s="83"/>
      <c r="P175" s="83"/>
      <c r="Q175" s="83"/>
      <c r="R175" s="83"/>
      <c r="S175" s="83"/>
      <c r="T175" s="83"/>
      <c r="U175" s="83"/>
      <c r="V175" s="83"/>
      <c r="W175" s="83"/>
      <c r="X175" s="83"/>
      <c r="Y175" s="83"/>
      <c r="Z175" s="114"/>
      <c r="AA175" s="115" t="str">
        <f t="shared" si="6"/>
        <v/>
      </c>
      <c r="AB175" s="115">
        <f t="shared" si="7"/>
        <v>0</v>
      </c>
      <c r="AC175" s="115">
        <f t="shared" si="8"/>
        <v>0</v>
      </c>
      <c r="AD175" s="115">
        <f t="shared" si="9"/>
        <v>0</v>
      </c>
    </row>
    <row r="176">
      <c r="A176" s="101"/>
      <c r="B176" s="121"/>
      <c r="C176" s="122"/>
      <c r="D176" s="103" t="str">
        <f t="shared" si="1"/>
        <v/>
      </c>
      <c r="E176" s="103" t="str">
        <f t="shared" si="2"/>
        <v/>
      </c>
      <c r="F176" s="103" t="str">
        <f t="shared" si="3"/>
        <v/>
      </c>
      <c r="G176" s="122"/>
      <c r="H176" s="103">
        <f t="shared" si="4"/>
        <v>0</v>
      </c>
      <c r="I176" s="108">
        <f t="shared" si="5"/>
        <v>0</v>
      </c>
      <c r="J176" s="114"/>
      <c r="K176" s="83"/>
      <c r="L176" s="83"/>
      <c r="M176" s="83"/>
      <c r="N176" s="83"/>
      <c r="O176" s="83"/>
      <c r="P176" s="83"/>
      <c r="Q176" s="83"/>
      <c r="R176" s="83"/>
      <c r="S176" s="83"/>
      <c r="T176" s="83"/>
      <c r="U176" s="83"/>
      <c r="V176" s="83"/>
      <c r="W176" s="83"/>
      <c r="X176" s="83"/>
      <c r="Y176" s="83"/>
      <c r="Z176" s="114"/>
      <c r="AA176" s="115" t="str">
        <f t="shared" si="6"/>
        <v/>
      </c>
      <c r="AB176" s="115">
        <f t="shared" si="7"/>
        <v>0</v>
      </c>
      <c r="AC176" s="115">
        <f t="shared" si="8"/>
        <v>0</v>
      </c>
      <c r="AD176" s="115">
        <f t="shared" si="9"/>
        <v>0</v>
      </c>
    </row>
    <row r="177">
      <c r="A177" s="101"/>
      <c r="B177" s="121"/>
      <c r="C177" s="122"/>
      <c r="D177" s="103" t="str">
        <f t="shared" si="1"/>
        <v/>
      </c>
      <c r="E177" s="103" t="str">
        <f t="shared" si="2"/>
        <v/>
      </c>
      <c r="F177" s="103" t="str">
        <f t="shared" si="3"/>
        <v/>
      </c>
      <c r="G177" s="122"/>
      <c r="H177" s="103">
        <f t="shared" si="4"/>
        <v>0</v>
      </c>
      <c r="I177" s="108">
        <f t="shared" si="5"/>
        <v>0</v>
      </c>
      <c r="J177" s="114"/>
      <c r="K177" s="83"/>
      <c r="L177" s="83"/>
      <c r="M177" s="83"/>
      <c r="N177" s="83"/>
      <c r="O177" s="83"/>
      <c r="P177" s="83"/>
      <c r="Q177" s="83"/>
      <c r="R177" s="83"/>
      <c r="S177" s="83"/>
      <c r="T177" s="83"/>
      <c r="U177" s="83"/>
      <c r="V177" s="83"/>
      <c r="W177" s="83"/>
      <c r="X177" s="83"/>
      <c r="Y177" s="83"/>
      <c r="Z177" s="114"/>
      <c r="AA177" s="115" t="str">
        <f t="shared" si="6"/>
        <v/>
      </c>
      <c r="AB177" s="115">
        <f t="shared" si="7"/>
        <v>0</v>
      </c>
      <c r="AC177" s="115">
        <f t="shared" si="8"/>
        <v>0</v>
      </c>
      <c r="AD177" s="115">
        <f t="shared" si="9"/>
        <v>0</v>
      </c>
    </row>
    <row r="178">
      <c r="A178" s="101"/>
      <c r="B178" s="121"/>
      <c r="C178" s="122"/>
      <c r="D178" s="103" t="str">
        <f t="shared" si="1"/>
        <v/>
      </c>
      <c r="E178" s="103" t="str">
        <f t="shared" si="2"/>
        <v/>
      </c>
      <c r="F178" s="103" t="str">
        <f t="shared" si="3"/>
        <v/>
      </c>
      <c r="G178" s="122"/>
      <c r="H178" s="103">
        <f t="shared" si="4"/>
        <v>0</v>
      </c>
      <c r="I178" s="108">
        <f t="shared" si="5"/>
        <v>0</v>
      </c>
      <c r="J178" s="114"/>
      <c r="K178" s="83"/>
      <c r="L178" s="83"/>
      <c r="M178" s="83"/>
      <c r="N178" s="83"/>
      <c r="O178" s="83"/>
      <c r="P178" s="83"/>
      <c r="Q178" s="83"/>
      <c r="R178" s="83"/>
      <c r="S178" s="83"/>
      <c r="T178" s="83"/>
      <c r="U178" s="83"/>
      <c r="V178" s="83"/>
      <c r="W178" s="83"/>
      <c r="X178" s="83"/>
      <c r="Y178" s="83"/>
      <c r="Z178" s="114"/>
      <c r="AA178" s="115" t="str">
        <f t="shared" si="6"/>
        <v/>
      </c>
      <c r="AB178" s="115">
        <f t="shared" si="7"/>
        <v>0</v>
      </c>
      <c r="AC178" s="115">
        <f t="shared" si="8"/>
        <v>0</v>
      </c>
      <c r="AD178" s="115">
        <f t="shared" si="9"/>
        <v>0</v>
      </c>
    </row>
    <row r="179">
      <c r="A179" s="101"/>
      <c r="B179" s="121"/>
      <c r="C179" s="122"/>
      <c r="D179" s="103" t="str">
        <f t="shared" si="1"/>
        <v/>
      </c>
      <c r="E179" s="103" t="str">
        <f t="shared" si="2"/>
        <v/>
      </c>
      <c r="F179" s="103" t="str">
        <f t="shared" si="3"/>
        <v/>
      </c>
      <c r="G179" s="122"/>
      <c r="H179" s="103">
        <f t="shared" si="4"/>
        <v>0</v>
      </c>
      <c r="I179" s="108">
        <f t="shared" si="5"/>
        <v>0</v>
      </c>
      <c r="J179" s="114"/>
      <c r="K179" s="83"/>
      <c r="L179" s="83"/>
      <c r="M179" s="83"/>
      <c r="N179" s="83"/>
      <c r="O179" s="83"/>
      <c r="P179" s="83"/>
      <c r="Q179" s="83"/>
      <c r="R179" s="83"/>
      <c r="S179" s="83"/>
      <c r="T179" s="83"/>
      <c r="U179" s="83"/>
      <c r="V179" s="83"/>
      <c r="W179" s="83"/>
      <c r="X179" s="83"/>
      <c r="Y179" s="83"/>
      <c r="Z179" s="114"/>
      <c r="AA179" s="115" t="str">
        <f t="shared" si="6"/>
        <v/>
      </c>
      <c r="AB179" s="115">
        <f t="shared" si="7"/>
        <v>0</v>
      </c>
      <c r="AC179" s="115">
        <f t="shared" si="8"/>
        <v>0</v>
      </c>
      <c r="AD179" s="115">
        <f t="shared" si="9"/>
        <v>0</v>
      </c>
    </row>
    <row r="180">
      <c r="A180" s="101"/>
      <c r="B180" s="121"/>
      <c r="C180" s="122"/>
      <c r="D180" s="103" t="str">
        <f t="shared" si="1"/>
        <v/>
      </c>
      <c r="E180" s="103" t="str">
        <f t="shared" si="2"/>
        <v/>
      </c>
      <c r="F180" s="103" t="str">
        <f t="shared" si="3"/>
        <v/>
      </c>
      <c r="G180" s="122"/>
      <c r="H180" s="103">
        <f t="shared" si="4"/>
        <v>0</v>
      </c>
      <c r="I180" s="108">
        <f t="shared" si="5"/>
        <v>0</v>
      </c>
      <c r="J180" s="114"/>
      <c r="K180" s="83"/>
      <c r="L180" s="83"/>
      <c r="M180" s="83"/>
      <c r="N180" s="83"/>
      <c r="O180" s="83"/>
      <c r="P180" s="83"/>
      <c r="Q180" s="83"/>
      <c r="R180" s="83"/>
      <c r="S180" s="83"/>
      <c r="T180" s="83"/>
      <c r="U180" s="83"/>
      <c r="V180" s="83"/>
      <c r="W180" s="83"/>
      <c r="X180" s="83"/>
      <c r="Y180" s="83"/>
      <c r="Z180" s="114"/>
      <c r="AA180" s="115" t="str">
        <f t="shared" si="6"/>
        <v/>
      </c>
      <c r="AB180" s="115">
        <f t="shared" si="7"/>
        <v>0</v>
      </c>
      <c r="AC180" s="115">
        <f t="shared" si="8"/>
        <v>0</v>
      </c>
      <c r="AD180" s="115">
        <f t="shared" si="9"/>
        <v>0</v>
      </c>
    </row>
    <row r="181">
      <c r="A181" s="101"/>
      <c r="B181" s="121"/>
      <c r="C181" s="122"/>
      <c r="D181" s="103" t="str">
        <f t="shared" si="1"/>
        <v/>
      </c>
      <c r="E181" s="103" t="str">
        <f t="shared" si="2"/>
        <v/>
      </c>
      <c r="F181" s="103" t="str">
        <f t="shared" si="3"/>
        <v/>
      </c>
      <c r="G181" s="122"/>
      <c r="H181" s="103">
        <f t="shared" si="4"/>
        <v>0</v>
      </c>
      <c r="I181" s="108">
        <f t="shared" si="5"/>
        <v>0</v>
      </c>
      <c r="J181" s="114"/>
      <c r="K181" s="83"/>
      <c r="L181" s="83"/>
      <c r="M181" s="83"/>
      <c r="N181" s="83"/>
      <c r="O181" s="83"/>
      <c r="P181" s="83"/>
      <c r="Q181" s="83"/>
      <c r="R181" s="83"/>
      <c r="S181" s="83"/>
      <c r="T181" s="83"/>
      <c r="U181" s="83"/>
      <c r="V181" s="83"/>
      <c r="W181" s="83"/>
      <c r="X181" s="83"/>
      <c r="Y181" s="83"/>
      <c r="Z181" s="114"/>
      <c r="AA181" s="115" t="str">
        <f t="shared" si="6"/>
        <v/>
      </c>
      <c r="AB181" s="115">
        <f t="shared" si="7"/>
        <v>0</v>
      </c>
      <c r="AC181" s="115">
        <f t="shared" si="8"/>
        <v>0</v>
      </c>
      <c r="AD181" s="115">
        <f t="shared" si="9"/>
        <v>0</v>
      </c>
    </row>
    <row r="182">
      <c r="A182" s="101"/>
      <c r="B182" s="121"/>
      <c r="C182" s="122"/>
      <c r="D182" s="103" t="str">
        <f t="shared" si="1"/>
        <v/>
      </c>
      <c r="E182" s="103" t="str">
        <f t="shared" si="2"/>
        <v/>
      </c>
      <c r="F182" s="103" t="str">
        <f t="shared" si="3"/>
        <v/>
      </c>
      <c r="G182" s="122"/>
      <c r="H182" s="103">
        <f t="shared" si="4"/>
        <v>0</v>
      </c>
      <c r="I182" s="108">
        <f t="shared" si="5"/>
        <v>0</v>
      </c>
      <c r="J182" s="114"/>
      <c r="K182" s="83"/>
      <c r="L182" s="83"/>
      <c r="M182" s="83"/>
      <c r="N182" s="83"/>
      <c r="O182" s="83"/>
      <c r="P182" s="83"/>
      <c r="Q182" s="83"/>
      <c r="R182" s="83"/>
      <c r="S182" s="83"/>
      <c r="T182" s="83"/>
      <c r="U182" s="83"/>
      <c r="V182" s="83"/>
      <c r="W182" s="83"/>
      <c r="X182" s="83"/>
      <c r="Y182" s="83"/>
      <c r="Z182" s="114"/>
      <c r="AA182" s="115" t="str">
        <f t="shared" si="6"/>
        <v/>
      </c>
      <c r="AB182" s="115">
        <f t="shared" si="7"/>
        <v>0</v>
      </c>
      <c r="AC182" s="115">
        <f t="shared" si="8"/>
        <v>0</v>
      </c>
      <c r="AD182" s="115">
        <f t="shared" si="9"/>
        <v>0</v>
      </c>
    </row>
    <row r="183">
      <c r="A183" s="101"/>
      <c r="B183" s="121"/>
      <c r="C183" s="122"/>
      <c r="D183" s="103" t="str">
        <f t="shared" si="1"/>
        <v/>
      </c>
      <c r="E183" s="103" t="str">
        <f t="shared" si="2"/>
        <v/>
      </c>
      <c r="F183" s="103" t="str">
        <f t="shared" si="3"/>
        <v/>
      </c>
      <c r="G183" s="122"/>
      <c r="H183" s="103">
        <f t="shared" si="4"/>
        <v>0</v>
      </c>
      <c r="I183" s="108">
        <f t="shared" si="5"/>
        <v>0</v>
      </c>
      <c r="J183" s="114"/>
      <c r="K183" s="83"/>
      <c r="L183" s="83"/>
      <c r="M183" s="83"/>
      <c r="N183" s="83"/>
      <c r="O183" s="83"/>
      <c r="P183" s="83"/>
      <c r="Q183" s="83"/>
      <c r="R183" s="83"/>
      <c r="S183" s="83"/>
      <c r="T183" s="83"/>
      <c r="U183" s="83"/>
      <c r="V183" s="83"/>
      <c r="W183" s="83"/>
      <c r="X183" s="83"/>
      <c r="Y183" s="83"/>
      <c r="Z183" s="114"/>
      <c r="AA183" s="115" t="str">
        <f t="shared" si="6"/>
        <v/>
      </c>
      <c r="AB183" s="115">
        <f t="shared" si="7"/>
        <v>0</v>
      </c>
      <c r="AC183" s="115">
        <f t="shared" si="8"/>
        <v>0</v>
      </c>
      <c r="AD183" s="115">
        <f t="shared" si="9"/>
        <v>0</v>
      </c>
    </row>
    <row r="184">
      <c r="A184" s="101"/>
      <c r="B184" s="121"/>
      <c r="C184" s="122"/>
      <c r="D184" s="103" t="str">
        <f t="shared" si="1"/>
        <v/>
      </c>
      <c r="E184" s="103" t="str">
        <f t="shared" si="2"/>
        <v/>
      </c>
      <c r="F184" s="103" t="str">
        <f t="shared" si="3"/>
        <v/>
      </c>
      <c r="G184" s="122"/>
      <c r="H184" s="103">
        <f t="shared" si="4"/>
        <v>0</v>
      </c>
      <c r="I184" s="108">
        <f t="shared" si="5"/>
        <v>0</v>
      </c>
      <c r="J184" s="114"/>
      <c r="K184" s="83"/>
      <c r="L184" s="83"/>
      <c r="M184" s="83"/>
      <c r="N184" s="83"/>
      <c r="O184" s="83"/>
      <c r="P184" s="83"/>
      <c r="Q184" s="83"/>
      <c r="R184" s="83"/>
      <c r="S184" s="83"/>
      <c r="T184" s="83"/>
      <c r="U184" s="83"/>
      <c r="V184" s="83"/>
      <c r="W184" s="83"/>
      <c r="X184" s="83"/>
      <c r="Y184" s="83"/>
      <c r="Z184" s="114"/>
      <c r="AA184" s="115" t="str">
        <f t="shared" si="6"/>
        <v/>
      </c>
      <c r="AB184" s="115">
        <f t="shared" si="7"/>
        <v>0</v>
      </c>
      <c r="AC184" s="115">
        <f t="shared" si="8"/>
        <v>0</v>
      </c>
      <c r="AD184" s="115">
        <f t="shared" si="9"/>
        <v>0</v>
      </c>
    </row>
    <row r="185">
      <c r="A185" s="101"/>
      <c r="B185" s="121"/>
      <c r="C185" s="122"/>
      <c r="D185" s="103" t="str">
        <f t="shared" si="1"/>
        <v/>
      </c>
      <c r="E185" s="103" t="str">
        <f t="shared" si="2"/>
        <v/>
      </c>
      <c r="F185" s="103" t="str">
        <f t="shared" si="3"/>
        <v/>
      </c>
      <c r="G185" s="122"/>
      <c r="H185" s="103">
        <f t="shared" si="4"/>
        <v>0</v>
      </c>
      <c r="I185" s="108">
        <f t="shared" si="5"/>
        <v>0</v>
      </c>
      <c r="J185" s="114"/>
      <c r="K185" s="83"/>
      <c r="L185" s="83"/>
      <c r="M185" s="83"/>
      <c r="N185" s="83"/>
      <c r="O185" s="83"/>
      <c r="P185" s="83"/>
      <c r="Q185" s="83"/>
      <c r="R185" s="83"/>
      <c r="S185" s="83"/>
      <c r="T185" s="83"/>
      <c r="U185" s="83"/>
      <c r="V185" s="83"/>
      <c r="W185" s="83"/>
      <c r="X185" s="83"/>
      <c r="Y185" s="83"/>
      <c r="Z185" s="114"/>
      <c r="AA185" s="115" t="str">
        <f t="shared" si="6"/>
        <v/>
      </c>
      <c r="AB185" s="115">
        <f t="shared" si="7"/>
        <v>0</v>
      </c>
      <c r="AC185" s="115">
        <f t="shared" si="8"/>
        <v>0</v>
      </c>
      <c r="AD185" s="115">
        <f t="shared" si="9"/>
        <v>0</v>
      </c>
    </row>
    <row r="186">
      <c r="A186" s="101"/>
      <c r="B186" s="121"/>
      <c r="C186" s="122"/>
      <c r="D186" s="103" t="str">
        <f t="shared" si="1"/>
        <v/>
      </c>
      <c r="E186" s="103" t="str">
        <f t="shared" si="2"/>
        <v/>
      </c>
      <c r="F186" s="103" t="str">
        <f t="shared" si="3"/>
        <v/>
      </c>
      <c r="G186" s="122"/>
      <c r="H186" s="103">
        <f t="shared" si="4"/>
        <v>0</v>
      </c>
      <c r="I186" s="108">
        <f t="shared" si="5"/>
        <v>0</v>
      </c>
      <c r="J186" s="114"/>
      <c r="K186" s="83"/>
      <c r="L186" s="83"/>
      <c r="M186" s="83"/>
      <c r="N186" s="83"/>
      <c r="O186" s="83"/>
      <c r="P186" s="83"/>
      <c r="Q186" s="83"/>
      <c r="R186" s="83"/>
      <c r="S186" s="83"/>
      <c r="T186" s="83"/>
      <c r="U186" s="83"/>
      <c r="V186" s="83"/>
      <c r="W186" s="83"/>
      <c r="X186" s="83"/>
      <c r="Y186" s="83"/>
      <c r="Z186" s="114"/>
      <c r="AA186" s="115" t="str">
        <f t="shared" si="6"/>
        <v/>
      </c>
      <c r="AB186" s="115">
        <f t="shared" si="7"/>
        <v>0</v>
      </c>
      <c r="AC186" s="115">
        <f t="shared" si="8"/>
        <v>0</v>
      </c>
      <c r="AD186" s="115">
        <f t="shared" si="9"/>
        <v>0</v>
      </c>
    </row>
    <row r="187">
      <c r="A187" s="101"/>
      <c r="B187" s="121"/>
      <c r="C187" s="122"/>
      <c r="D187" s="103" t="str">
        <f t="shared" si="1"/>
        <v/>
      </c>
      <c r="E187" s="103" t="str">
        <f t="shared" si="2"/>
        <v/>
      </c>
      <c r="F187" s="103" t="str">
        <f t="shared" si="3"/>
        <v/>
      </c>
      <c r="G187" s="122"/>
      <c r="H187" s="103">
        <f t="shared" si="4"/>
        <v>0</v>
      </c>
      <c r="I187" s="108">
        <f t="shared" si="5"/>
        <v>0</v>
      </c>
      <c r="J187" s="114"/>
      <c r="K187" s="83"/>
      <c r="L187" s="83"/>
      <c r="M187" s="83"/>
      <c r="N187" s="83"/>
      <c r="O187" s="83"/>
      <c r="P187" s="83"/>
      <c r="Q187" s="83"/>
      <c r="R187" s="83"/>
      <c r="S187" s="83"/>
      <c r="T187" s="83"/>
      <c r="U187" s="83"/>
      <c r="V187" s="83"/>
      <c r="W187" s="83"/>
      <c r="X187" s="83"/>
      <c r="Y187" s="83"/>
      <c r="Z187" s="114"/>
      <c r="AA187" s="115" t="str">
        <f t="shared" si="6"/>
        <v/>
      </c>
      <c r="AB187" s="115">
        <f t="shared" si="7"/>
        <v>0</v>
      </c>
      <c r="AC187" s="115">
        <f t="shared" si="8"/>
        <v>0</v>
      </c>
      <c r="AD187" s="115">
        <f t="shared" si="9"/>
        <v>0</v>
      </c>
    </row>
    <row r="188">
      <c r="A188" s="101"/>
      <c r="B188" s="121"/>
      <c r="C188" s="122"/>
      <c r="D188" s="103" t="str">
        <f t="shared" si="1"/>
        <v/>
      </c>
      <c r="E188" s="103" t="str">
        <f t="shared" si="2"/>
        <v/>
      </c>
      <c r="F188" s="103" t="str">
        <f t="shared" si="3"/>
        <v/>
      </c>
      <c r="G188" s="122"/>
      <c r="H188" s="103">
        <f t="shared" si="4"/>
        <v>0</v>
      </c>
      <c r="I188" s="108">
        <f t="shared" si="5"/>
        <v>0</v>
      </c>
      <c r="J188" s="114"/>
      <c r="K188" s="83"/>
      <c r="L188" s="83"/>
      <c r="M188" s="83"/>
      <c r="N188" s="83"/>
      <c r="O188" s="83"/>
      <c r="P188" s="83"/>
      <c r="Q188" s="83"/>
      <c r="R188" s="83"/>
      <c r="S188" s="83"/>
      <c r="T188" s="83"/>
      <c r="U188" s="83"/>
      <c r="V188" s="83"/>
      <c r="W188" s="83"/>
      <c r="X188" s="83"/>
      <c r="Y188" s="83"/>
      <c r="Z188" s="114"/>
      <c r="AA188" s="115" t="str">
        <f t="shared" si="6"/>
        <v/>
      </c>
      <c r="AB188" s="115">
        <f t="shared" si="7"/>
        <v>0</v>
      </c>
      <c r="AC188" s="115">
        <f t="shared" si="8"/>
        <v>0</v>
      </c>
      <c r="AD188" s="115">
        <f t="shared" si="9"/>
        <v>0</v>
      </c>
    </row>
    <row r="189">
      <c r="A189" s="101"/>
      <c r="B189" s="121"/>
      <c r="C189" s="122"/>
      <c r="D189" s="103" t="str">
        <f t="shared" si="1"/>
        <v/>
      </c>
      <c r="E189" s="103" t="str">
        <f t="shared" si="2"/>
        <v/>
      </c>
      <c r="F189" s="103" t="str">
        <f t="shared" si="3"/>
        <v/>
      </c>
      <c r="G189" s="122"/>
      <c r="H189" s="103">
        <f t="shared" si="4"/>
        <v>0</v>
      </c>
      <c r="I189" s="108">
        <f t="shared" si="5"/>
        <v>0</v>
      </c>
      <c r="J189" s="114"/>
      <c r="K189" s="83"/>
      <c r="L189" s="83"/>
      <c r="M189" s="83"/>
      <c r="N189" s="83"/>
      <c r="O189" s="83"/>
      <c r="P189" s="83"/>
      <c r="Q189" s="83"/>
      <c r="R189" s="83"/>
      <c r="S189" s="83"/>
      <c r="T189" s="83"/>
      <c r="U189" s="83"/>
      <c r="V189" s="83"/>
      <c r="W189" s="83"/>
      <c r="X189" s="83"/>
      <c r="Y189" s="83"/>
      <c r="Z189" s="114"/>
      <c r="AA189" s="115" t="str">
        <f t="shared" si="6"/>
        <v/>
      </c>
      <c r="AB189" s="115">
        <f t="shared" si="7"/>
        <v>0</v>
      </c>
      <c r="AC189" s="115">
        <f t="shared" si="8"/>
        <v>0</v>
      </c>
      <c r="AD189" s="115">
        <f t="shared" si="9"/>
        <v>0</v>
      </c>
    </row>
    <row r="190">
      <c r="A190" s="101"/>
      <c r="B190" s="121"/>
      <c r="C190" s="122"/>
      <c r="D190" s="103" t="str">
        <f t="shared" si="1"/>
        <v/>
      </c>
      <c r="E190" s="103" t="str">
        <f t="shared" si="2"/>
        <v/>
      </c>
      <c r="F190" s="103" t="str">
        <f t="shared" si="3"/>
        <v/>
      </c>
      <c r="G190" s="122"/>
      <c r="H190" s="103">
        <f t="shared" si="4"/>
        <v>0</v>
      </c>
      <c r="I190" s="108">
        <f t="shared" si="5"/>
        <v>0</v>
      </c>
      <c r="J190" s="114"/>
      <c r="K190" s="83"/>
      <c r="L190" s="83"/>
      <c r="M190" s="83"/>
      <c r="N190" s="83"/>
      <c r="O190" s="83"/>
      <c r="P190" s="83"/>
      <c r="Q190" s="83"/>
      <c r="R190" s="83"/>
      <c r="S190" s="83"/>
      <c r="T190" s="83"/>
      <c r="U190" s="83"/>
      <c r="V190" s="83"/>
      <c r="W190" s="83"/>
      <c r="X190" s="83"/>
      <c r="Y190" s="83"/>
      <c r="Z190" s="114"/>
      <c r="AA190" s="115" t="str">
        <f t="shared" si="6"/>
        <v/>
      </c>
      <c r="AB190" s="115">
        <f t="shared" si="7"/>
        <v>0</v>
      </c>
      <c r="AC190" s="115">
        <f t="shared" si="8"/>
        <v>0</v>
      </c>
      <c r="AD190" s="115">
        <f t="shared" si="9"/>
        <v>0</v>
      </c>
    </row>
    <row r="191">
      <c r="A191" s="101"/>
      <c r="B191" s="121"/>
      <c r="C191" s="122"/>
      <c r="D191" s="103" t="str">
        <f t="shared" si="1"/>
        <v/>
      </c>
      <c r="E191" s="103" t="str">
        <f t="shared" si="2"/>
        <v/>
      </c>
      <c r="F191" s="103" t="str">
        <f t="shared" si="3"/>
        <v/>
      </c>
      <c r="G191" s="122"/>
      <c r="H191" s="103">
        <f t="shared" si="4"/>
        <v>0</v>
      </c>
      <c r="I191" s="108">
        <f t="shared" si="5"/>
        <v>0</v>
      </c>
      <c r="J191" s="114"/>
      <c r="K191" s="83"/>
      <c r="L191" s="83"/>
      <c r="M191" s="83"/>
      <c r="N191" s="83"/>
      <c r="O191" s="83"/>
      <c r="P191" s="83"/>
      <c r="Q191" s="83"/>
      <c r="R191" s="83"/>
      <c r="S191" s="83"/>
      <c r="T191" s="83"/>
      <c r="U191" s="83"/>
      <c r="V191" s="83"/>
      <c r="W191" s="83"/>
      <c r="X191" s="83"/>
      <c r="Y191" s="83"/>
      <c r="Z191" s="114"/>
      <c r="AA191" s="115" t="str">
        <f t="shared" si="6"/>
        <v/>
      </c>
      <c r="AB191" s="115">
        <f t="shared" si="7"/>
        <v>0</v>
      </c>
      <c r="AC191" s="115">
        <f t="shared" si="8"/>
        <v>0</v>
      </c>
      <c r="AD191" s="115">
        <f t="shared" si="9"/>
        <v>0</v>
      </c>
    </row>
    <row r="192">
      <c r="A192" s="101"/>
      <c r="B192" s="121"/>
      <c r="C192" s="122"/>
      <c r="D192" s="103" t="str">
        <f t="shared" si="1"/>
        <v/>
      </c>
      <c r="E192" s="103" t="str">
        <f t="shared" si="2"/>
        <v/>
      </c>
      <c r="F192" s="103" t="str">
        <f t="shared" si="3"/>
        <v/>
      </c>
      <c r="G192" s="122"/>
      <c r="H192" s="103">
        <f t="shared" si="4"/>
        <v>0</v>
      </c>
      <c r="I192" s="108">
        <f t="shared" si="5"/>
        <v>0</v>
      </c>
      <c r="J192" s="114"/>
      <c r="K192" s="83"/>
      <c r="L192" s="83"/>
      <c r="M192" s="83"/>
      <c r="N192" s="83"/>
      <c r="O192" s="83"/>
      <c r="P192" s="83"/>
      <c r="Q192" s="83"/>
      <c r="R192" s="83"/>
      <c r="S192" s="83"/>
      <c r="T192" s="83"/>
      <c r="U192" s="83"/>
      <c r="V192" s="83"/>
      <c r="W192" s="83"/>
      <c r="X192" s="83"/>
      <c r="Y192" s="83"/>
      <c r="Z192" s="114"/>
      <c r="AA192" s="115" t="str">
        <f t="shared" si="6"/>
        <v/>
      </c>
      <c r="AB192" s="115">
        <f t="shared" si="7"/>
        <v>0</v>
      </c>
      <c r="AC192" s="115">
        <f t="shared" si="8"/>
        <v>0</v>
      </c>
      <c r="AD192" s="115">
        <f t="shared" si="9"/>
        <v>0</v>
      </c>
    </row>
    <row r="193">
      <c r="A193" s="101"/>
      <c r="B193" s="121"/>
      <c r="C193" s="122"/>
      <c r="D193" s="103" t="str">
        <f t="shared" si="1"/>
        <v/>
      </c>
      <c r="E193" s="103" t="str">
        <f t="shared" si="2"/>
        <v/>
      </c>
      <c r="F193" s="103" t="str">
        <f t="shared" si="3"/>
        <v/>
      </c>
      <c r="G193" s="122"/>
      <c r="H193" s="103">
        <f t="shared" si="4"/>
        <v>0</v>
      </c>
      <c r="I193" s="108">
        <f t="shared" si="5"/>
        <v>0</v>
      </c>
      <c r="J193" s="114"/>
      <c r="K193" s="83"/>
      <c r="L193" s="83"/>
      <c r="M193" s="83"/>
      <c r="N193" s="83"/>
      <c r="O193" s="83"/>
      <c r="P193" s="83"/>
      <c r="Q193" s="83"/>
      <c r="R193" s="83"/>
      <c r="S193" s="83"/>
      <c r="T193" s="83"/>
      <c r="U193" s="83"/>
      <c r="V193" s="83"/>
      <c r="W193" s="83"/>
      <c r="X193" s="83"/>
      <c r="Y193" s="83"/>
      <c r="Z193" s="114"/>
      <c r="AA193" s="115" t="str">
        <f t="shared" si="6"/>
        <v/>
      </c>
      <c r="AB193" s="115">
        <f t="shared" si="7"/>
        <v>0</v>
      </c>
      <c r="AC193" s="115">
        <f t="shared" si="8"/>
        <v>0</v>
      </c>
      <c r="AD193" s="115">
        <f t="shared" si="9"/>
        <v>0</v>
      </c>
    </row>
    <row r="194">
      <c r="A194" s="101"/>
      <c r="B194" s="121"/>
      <c r="C194" s="122"/>
      <c r="D194" s="103" t="str">
        <f t="shared" si="1"/>
        <v/>
      </c>
      <c r="E194" s="103" t="str">
        <f t="shared" si="2"/>
        <v/>
      </c>
      <c r="F194" s="103" t="str">
        <f t="shared" si="3"/>
        <v/>
      </c>
      <c r="G194" s="122"/>
      <c r="H194" s="103">
        <f t="shared" si="4"/>
        <v>0</v>
      </c>
      <c r="I194" s="108">
        <f t="shared" si="5"/>
        <v>0</v>
      </c>
      <c r="J194" s="114"/>
      <c r="K194" s="83"/>
      <c r="L194" s="83"/>
      <c r="M194" s="83"/>
      <c r="N194" s="83"/>
      <c r="O194" s="83"/>
      <c r="P194" s="83"/>
      <c r="Q194" s="83"/>
      <c r="R194" s="83"/>
      <c r="S194" s="83"/>
      <c r="T194" s="83"/>
      <c r="U194" s="83"/>
      <c r="V194" s="83"/>
      <c r="W194" s="83"/>
      <c r="X194" s="83"/>
      <c r="Y194" s="83"/>
      <c r="Z194" s="114"/>
      <c r="AA194" s="115" t="str">
        <f t="shared" si="6"/>
        <v/>
      </c>
      <c r="AB194" s="115">
        <f t="shared" si="7"/>
        <v>0</v>
      </c>
      <c r="AC194" s="115">
        <f t="shared" si="8"/>
        <v>0</v>
      </c>
      <c r="AD194" s="115">
        <f t="shared" si="9"/>
        <v>0</v>
      </c>
    </row>
    <row r="195">
      <c r="A195" s="101"/>
      <c r="B195" s="121"/>
      <c r="C195" s="122"/>
      <c r="D195" s="103" t="str">
        <f t="shared" si="1"/>
        <v/>
      </c>
      <c r="E195" s="103" t="str">
        <f t="shared" si="2"/>
        <v/>
      </c>
      <c r="F195" s="103" t="str">
        <f t="shared" si="3"/>
        <v/>
      </c>
      <c r="G195" s="122"/>
      <c r="H195" s="103">
        <f t="shared" si="4"/>
        <v>0</v>
      </c>
      <c r="I195" s="108">
        <f t="shared" si="5"/>
        <v>0</v>
      </c>
      <c r="J195" s="114"/>
      <c r="K195" s="83"/>
      <c r="L195" s="83"/>
      <c r="M195" s="83"/>
      <c r="N195" s="83"/>
      <c r="O195" s="83"/>
      <c r="P195" s="83"/>
      <c r="Q195" s="83"/>
      <c r="R195" s="83"/>
      <c r="S195" s="83"/>
      <c r="T195" s="83"/>
      <c r="U195" s="83"/>
      <c r="V195" s="83"/>
      <c r="W195" s="83"/>
      <c r="X195" s="83"/>
      <c r="Y195" s="83"/>
      <c r="Z195" s="114"/>
      <c r="AA195" s="115" t="str">
        <f t="shared" si="6"/>
        <v/>
      </c>
      <c r="AB195" s="115">
        <f t="shared" si="7"/>
        <v>0</v>
      </c>
      <c r="AC195" s="115">
        <f t="shared" si="8"/>
        <v>0</v>
      </c>
      <c r="AD195" s="115">
        <f t="shared" si="9"/>
        <v>0</v>
      </c>
    </row>
    <row r="196">
      <c r="A196" s="101"/>
      <c r="B196" s="121"/>
      <c r="C196" s="122"/>
      <c r="D196" s="103" t="str">
        <f t="shared" si="1"/>
        <v/>
      </c>
      <c r="E196" s="103" t="str">
        <f t="shared" si="2"/>
        <v/>
      </c>
      <c r="F196" s="103" t="str">
        <f t="shared" si="3"/>
        <v/>
      </c>
      <c r="G196" s="122"/>
      <c r="H196" s="103">
        <f t="shared" si="4"/>
        <v>0</v>
      </c>
      <c r="I196" s="108">
        <f t="shared" si="5"/>
        <v>0</v>
      </c>
      <c r="J196" s="114"/>
      <c r="K196" s="83"/>
      <c r="L196" s="83"/>
      <c r="M196" s="83"/>
      <c r="N196" s="83"/>
      <c r="O196" s="83"/>
      <c r="P196" s="83"/>
      <c r="Q196" s="83"/>
      <c r="R196" s="83"/>
      <c r="S196" s="83"/>
      <c r="T196" s="83"/>
      <c r="U196" s="83"/>
      <c r="V196" s="83"/>
      <c r="W196" s="83"/>
      <c r="X196" s="83"/>
      <c r="Y196" s="83"/>
      <c r="Z196" s="114"/>
      <c r="AA196" s="115" t="str">
        <f t="shared" si="6"/>
        <v/>
      </c>
      <c r="AB196" s="115">
        <f t="shared" si="7"/>
        <v>0</v>
      </c>
      <c r="AC196" s="115">
        <f t="shared" si="8"/>
        <v>0</v>
      </c>
      <c r="AD196" s="115">
        <f t="shared" si="9"/>
        <v>0</v>
      </c>
    </row>
    <row r="197">
      <c r="A197" s="101"/>
      <c r="B197" s="121"/>
      <c r="C197" s="122"/>
      <c r="D197" s="103" t="str">
        <f t="shared" si="1"/>
        <v/>
      </c>
      <c r="E197" s="103" t="str">
        <f t="shared" si="2"/>
        <v/>
      </c>
      <c r="F197" s="103" t="str">
        <f t="shared" si="3"/>
        <v/>
      </c>
      <c r="G197" s="122"/>
      <c r="H197" s="103">
        <f t="shared" si="4"/>
        <v>0</v>
      </c>
      <c r="I197" s="108">
        <f t="shared" si="5"/>
        <v>0</v>
      </c>
      <c r="J197" s="114"/>
      <c r="K197" s="83"/>
      <c r="L197" s="83"/>
      <c r="M197" s="83"/>
      <c r="N197" s="83"/>
      <c r="O197" s="83"/>
      <c r="P197" s="83"/>
      <c r="Q197" s="83"/>
      <c r="R197" s="83"/>
      <c r="S197" s="83"/>
      <c r="T197" s="83"/>
      <c r="U197" s="83"/>
      <c r="V197" s="83"/>
      <c r="W197" s="83"/>
      <c r="X197" s="83"/>
      <c r="Y197" s="83"/>
      <c r="Z197" s="114"/>
      <c r="AA197" s="115" t="str">
        <f t="shared" si="6"/>
        <v/>
      </c>
      <c r="AB197" s="115">
        <f t="shared" si="7"/>
        <v>0</v>
      </c>
      <c r="AC197" s="115">
        <f t="shared" si="8"/>
        <v>0</v>
      </c>
      <c r="AD197" s="115">
        <f t="shared" si="9"/>
        <v>0</v>
      </c>
    </row>
    <row r="198">
      <c r="A198" s="101"/>
      <c r="B198" s="121"/>
      <c r="C198" s="122"/>
      <c r="D198" s="103" t="str">
        <f t="shared" si="1"/>
        <v/>
      </c>
      <c r="E198" s="103" t="str">
        <f t="shared" si="2"/>
        <v/>
      </c>
      <c r="F198" s="103" t="str">
        <f t="shared" si="3"/>
        <v/>
      </c>
      <c r="G198" s="122"/>
      <c r="H198" s="103">
        <f t="shared" si="4"/>
        <v>0</v>
      </c>
      <c r="I198" s="108">
        <f t="shared" si="5"/>
        <v>0</v>
      </c>
      <c r="J198" s="114"/>
      <c r="K198" s="83"/>
      <c r="L198" s="83"/>
      <c r="M198" s="83"/>
      <c r="N198" s="83"/>
      <c r="O198" s="83"/>
      <c r="P198" s="83"/>
      <c r="Q198" s="83"/>
      <c r="R198" s="83"/>
      <c r="S198" s="83"/>
      <c r="T198" s="83"/>
      <c r="U198" s="83"/>
      <c r="V198" s="83"/>
      <c r="W198" s="83"/>
      <c r="X198" s="83"/>
      <c r="Y198" s="83"/>
      <c r="Z198" s="114"/>
      <c r="AA198" s="115" t="str">
        <f t="shared" si="6"/>
        <v/>
      </c>
      <c r="AB198" s="115">
        <f t="shared" si="7"/>
        <v>0</v>
      </c>
      <c r="AC198" s="115">
        <f t="shared" si="8"/>
        <v>0</v>
      </c>
      <c r="AD198" s="115">
        <f t="shared" si="9"/>
        <v>0</v>
      </c>
    </row>
    <row r="199">
      <c r="A199" s="101"/>
      <c r="B199" s="121"/>
      <c r="C199" s="122"/>
      <c r="D199" s="103" t="str">
        <f t="shared" si="1"/>
        <v/>
      </c>
      <c r="E199" s="103" t="str">
        <f t="shared" si="2"/>
        <v/>
      </c>
      <c r="F199" s="103" t="str">
        <f t="shared" si="3"/>
        <v/>
      </c>
      <c r="G199" s="122"/>
      <c r="H199" s="103">
        <f t="shared" si="4"/>
        <v>0</v>
      </c>
      <c r="I199" s="108">
        <f t="shared" si="5"/>
        <v>0</v>
      </c>
      <c r="J199" s="114"/>
      <c r="K199" s="83"/>
      <c r="L199" s="83"/>
      <c r="M199" s="83"/>
      <c r="N199" s="83"/>
      <c r="O199" s="83"/>
      <c r="P199" s="83"/>
      <c r="Q199" s="83"/>
      <c r="R199" s="83"/>
      <c r="S199" s="83"/>
      <c r="T199" s="83"/>
      <c r="U199" s="83"/>
      <c r="V199" s="83"/>
      <c r="W199" s="83"/>
      <c r="X199" s="83"/>
      <c r="Y199" s="83"/>
      <c r="Z199" s="114"/>
      <c r="AA199" s="115" t="str">
        <f t="shared" si="6"/>
        <v/>
      </c>
      <c r="AB199" s="115">
        <f t="shared" si="7"/>
        <v>0</v>
      </c>
      <c r="AC199" s="115">
        <f t="shared" si="8"/>
        <v>0</v>
      </c>
      <c r="AD199" s="115">
        <f t="shared" si="9"/>
        <v>0</v>
      </c>
    </row>
    <row r="200">
      <c r="A200" s="101"/>
      <c r="B200" s="121"/>
      <c r="C200" s="122"/>
      <c r="D200" s="103" t="str">
        <f t="shared" si="1"/>
        <v/>
      </c>
      <c r="E200" s="103" t="str">
        <f t="shared" si="2"/>
        <v/>
      </c>
      <c r="F200" s="103" t="str">
        <f t="shared" si="3"/>
        <v/>
      </c>
      <c r="G200" s="122"/>
      <c r="H200" s="103">
        <f t="shared" si="4"/>
        <v>0</v>
      </c>
      <c r="I200" s="108">
        <f t="shared" si="5"/>
        <v>0</v>
      </c>
      <c r="J200" s="114"/>
      <c r="K200" s="83"/>
      <c r="L200" s="83"/>
      <c r="M200" s="83"/>
      <c r="N200" s="83"/>
      <c r="O200" s="83"/>
      <c r="P200" s="83"/>
      <c r="Q200" s="83"/>
      <c r="R200" s="83"/>
      <c r="S200" s="83"/>
      <c r="T200" s="83"/>
      <c r="U200" s="83"/>
      <c r="V200" s="83"/>
      <c r="W200" s="83"/>
      <c r="X200" s="83"/>
      <c r="Y200" s="83"/>
      <c r="Z200" s="114"/>
      <c r="AA200" s="115" t="str">
        <f t="shared" si="6"/>
        <v/>
      </c>
      <c r="AB200" s="115">
        <f t="shared" si="7"/>
        <v>0</v>
      </c>
      <c r="AC200" s="115">
        <f t="shared" si="8"/>
        <v>0</v>
      </c>
      <c r="AD200" s="115">
        <f t="shared" si="9"/>
        <v>0</v>
      </c>
    </row>
    <row r="201">
      <c r="A201" s="101"/>
      <c r="B201" s="121"/>
      <c r="C201" s="122"/>
      <c r="D201" s="103" t="str">
        <f t="shared" si="1"/>
        <v/>
      </c>
      <c r="E201" s="103" t="str">
        <f t="shared" si="2"/>
        <v/>
      </c>
      <c r="F201" s="103" t="str">
        <f t="shared" si="3"/>
        <v/>
      </c>
      <c r="G201" s="122"/>
      <c r="H201" s="103">
        <f t="shared" si="4"/>
        <v>0</v>
      </c>
      <c r="I201" s="108">
        <f t="shared" si="5"/>
        <v>0</v>
      </c>
      <c r="J201" s="114"/>
      <c r="K201" s="83"/>
      <c r="L201" s="83"/>
      <c r="M201" s="83"/>
      <c r="N201" s="83"/>
      <c r="O201" s="83"/>
      <c r="P201" s="83"/>
      <c r="Q201" s="83"/>
      <c r="R201" s="83"/>
      <c r="S201" s="83"/>
      <c r="T201" s="83"/>
      <c r="U201" s="83"/>
      <c r="V201" s="83"/>
      <c r="W201" s="83"/>
      <c r="X201" s="83"/>
      <c r="Y201" s="83"/>
      <c r="Z201" s="114"/>
      <c r="AA201" s="115" t="str">
        <f t="shared" si="6"/>
        <v/>
      </c>
      <c r="AB201" s="115">
        <f t="shared" si="7"/>
        <v>0</v>
      </c>
      <c r="AC201" s="115">
        <f t="shared" si="8"/>
        <v>0</v>
      </c>
      <c r="AD201" s="115">
        <f t="shared" si="9"/>
        <v>0</v>
      </c>
    </row>
    <row r="202">
      <c r="A202" s="101"/>
      <c r="B202" s="121"/>
      <c r="C202" s="122"/>
      <c r="D202" s="103" t="str">
        <f t="shared" si="1"/>
        <v/>
      </c>
      <c r="E202" s="103" t="str">
        <f t="shared" si="2"/>
        <v/>
      </c>
      <c r="F202" s="103" t="str">
        <f t="shared" si="3"/>
        <v/>
      </c>
      <c r="G202" s="122"/>
      <c r="H202" s="103">
        <f t="shared" si="4"/>
        <v>0</v>
      </c>
      <c r="I202" s="108">
        <f t="shared" si="5"/>
        <v>0</v>
      </c>
      <c r="J202" s="114"/>
      <c r="K202" s="83"/>
      <c r="L202" s="83"/>
      <c r="M202" s="83"/>
      <c r="N202" s="83"/>
      <c r="O202" s="83"/>
      <c r="P202" s="83"/>
      <c r="Q202" s="83"/>
      <c r="R202" s="83"/>
      <c r="S202" s="83"/>
      <c r="T202" s="83"/>
      <c r="U202" s="83"/>
      <c r="V202" s="83"/>
      <c r="W202" s="83"/>
      <c r="X202" s="83"/>
      <c r="Y202" s="83"/>
      <c r="Z202" s="114"/>
      <c r="AA202" s="115" t="str">
        <f t="shared" si="6"/>
        <v/>
      </c>
      <c r="AB202" s="115">
        <f t="shared" si="7"/>
        <v>0</v>
      </c>
      <c r="AC202" s="115">
        <f t="shared" si="8"/>
        <v>0</v>
      </c>
      <c r="AD202" s="115">
        <f t="shared" si="9"/>
        <v>0</v>
      </c>
    </row>
    <row r="203">
      <c r="A203" s="101"/>
      <c r="B203" s="121"/>
      <c r="C203" s="122"/>
      <c r="D203" s="103" t="str">
        <f t="shared" si="1"/>
        <v/>
      </c>
      <c r="E203" s="103" t="str">
        <f t="shared" si="2"/>
        <v/>
      </c>
      <c r="F203" s="103" t="str">
        <f t="shared" si="3"/>
        <v/>
      </c>
      <c r="G203" s="122"/>
      <c r="H203" s="103">
        <f t="shared" si="4"/>
        <v>0</v>
      </c>
      <c r="I203" s="108">
        <f t="shared" si="5"/>
        <v>0</v>
      </c>
      <c r="J203" s="114"/>
      <c r="K203" s="83"/>
      <c r="L203" s="83"/>
      <c r="M203" s="83"/>
      <c r="N203" s="83"/>
      <c r="O203" s="83"/>
      <c r="P203" s="83"/>
      <c r="Q203" s="83"/>
      <c r="R203" s="83"/>
      <c r="S203" s="83"/>
      <c r="T203" s="83"/>
      <c r="U203" s="83"/>
      <c r="V203" s="83"/>
      <c r="W203" s="83"/>
      <c r="X203" s="83"/>
      <c r="Y203" s="83"/>
      <c r="Z203" s="114"/>
      <c r="AA203" s="115" t="str">
        <f t="shared" si="6"/>
        <v/>
      </c>
      <c r="AB203" s="115">
        <f t="shared" si="7"/>
        <v>0</v>
      </c>
      <c r="AC203" s="115">
        <f t="shared" si="8"/>
        <v>0</v>
      </c>
      <c r="AD203" s="115">
        <f t="shared" si="9"/>
        <v>0</v>
      </c>
    </row>
    <row r="204">
      <c r="A204" s="101"/>
      <c r="B204" s="121"/>
      <c r="C204" s="122"/>
      <c r="D204" s="103" t="str">
        <f t="shared" si="1"/>
        <v/>
      </c>
      <c r="E204" s="103" t="str">
        <f t="shared" si="2"/>
        <v/>
      </c>
      <c r="F204" s="103" t="str">
        <f t="shared" si="3"/>
        <v/>
      </c>
      <c r="G204" s="122"/>
      <c r="H204" s="103">
        <f t="shared" si="4"/>
        <v>0</v>
      </c>
      <c r="I204" s="108">
        <f t="shared" si="5"/>
        <v>0</v>
      </c>
      <c r="J204" s="114"/>
      <c r="K204" s="83"/>
      <c r="L204" s="83"/>
      <c r="M204" s="83"/>
      <c r="N204" s="83"/>
      <c r="O204" s="83"/>
      <c r="P204" s="83"/>
      <c r="Q204" s="83"/>
      <c r="R204" s="83"/>
      <c r="S204" s="83"/>
      <c r="T204" s="83"/>
      <c r="U204" s="83"/>
      <c r="V204" s="83"/>
      <c r="W204" s="83"/>
      <c r="X204" s="83"/>
      <c r="Y204" s="83"/>
      <c r="Z204" s="114"/>
      <c r="AA204" s="115" t="str">
        <f t="shared" si="6"/>
        <v/>
      </c>
      <c r="AB204" s="115">
        <f t="shared" si="7"/>
        <v>0</v>
      </c>
      <c r="AC204" s="115">
        <f t="shared" si="8"/>
        <v>0</v>
      </c>
      <c r="AD204" s="115">
        <f t="shared" si="9"/>
        <v>0</v>
      </c>
    </row>
    <row r="205">
      <c r="A205" s="101"/>
      <c r="B205" s="121"/>
      <c r="C205" s="122"/>
      <c r="D205" s="103" t="str">
        <f t="shared" si="1"/>
        <v/>
      </c>
      <c r="E205" s="103" t="str">
        <f t="shared" si="2"/>
        <v/>
      </c>
      <c r="F205" s="103" t="str">
        <f t="shared" si="3"/>
        <v/>
      </c>
      <c r="G205" s="122"/>
      <c r="H205" s="103">
        <f t="shared" si="4"/>
        <v>0</v>
      </c>
      <c r="I205" s="108">
        <f t="shared" si="5"/>
        <v>0</v>
      </c>
      <c r="J205" s="114"/>
      <c r="K205" s="83"/>
      <c r="L205" s="83"/>
      <c r="M205" s="83"/>
      <c r="N205" s="83"/>
      <c r="O205" s="83"/>
      <c r="P205" s="83"/>
      <c r="Q205" s="83"/>
      <c r="R205" s="83"/>
      <c r="S205" s="83"/>
      <c r="T205" s="83"/>
      <c r="U205" s="83"/>
      <c r="V205" s="83"/>
      <c r="W205" s="83"/>
      <c r="X205" s="83"/>
      <c r="Y205" s="83"/>
      <c r="Z205" s="114"/>
      <c r="AA205" s="115" t="str">
        <f t="shared" si="6"/>
        <v/>
      </c>
      <c r="AB205" s="115">
        <f t="shared" si="7"/>
        <v>0</v>
      </c>
      <c r="AC205" s="115">
        <f t="shared" si="8"/>
        <v>0</v>
      </c>
      <c r="AD205" s="115">
        <f t="shared" si="9"/>
        <v>0</v>
      </c>
    </row>
    <row r="206">
      <c r="A206" s="101"/>
      <c r="B206" s="121"/>
      <c r="C206" s="122"/>
      <c r="D206" s="103" t="str">
        <f t="shared" si="1"/>
        <v/>
      </c>
      <c r="E206" s="103" t="str">
        <f t="shared" si="2"/>
        <v/>
      </c>
      <c r="F206" s="103" t="str">
        <f t="shared" si="3"/>
        <v/>
      </c>
      <c r="G206" s="122"/>
      <c r="H206" s="103">
        <f t="shared" si="4"/>
        <v>0</v>
      </c>
      <c r="I206" s="108">
        <f t="shared" si="5"/>
        <v>0</v>
      </c>
      <c r="J206" s="114"/>
      <c r="K206" s="83"/>
      <c r="L206" s="83"/>
      <c r="M206" s="83"/>
      <c r="N206" s="83"/>
      <c r="O206" s="83"/>
      <c r="P206" s="83"/>
      <c r="Q206" s="83"/>
      <c r="R206" s="83"/>
      <c r="S206" s="83"/>
      <c r="T206" s="83"/>
      <c r="U206" s="83"/>
      <c r="V206" s="83"/>
      <c r="W206" s="83"/>
      <c r="X206" s="83"/>
      <c r="Y206" s="83"/>
      <c r="Z206" s="114"/>
      <c r="AA206" s="115" t="str">
        <f t="shared" si="6"/>
        <v/>
      </c>
      <c r="AB206" s="115">
        <f t="shared" si="7"/>
        <v>0</v>
      </c>
      <c r="AC206" s="115">
        <f t="shared" si="8"/>
        <v>0</v>
      </c>
      <c r="AD206" s="115">
        <f t="shared" si="9"/>
        <v>0</v>
      </c>
    </row>
    <row r="207">
      <c r="A207" s="101"/>
      <c r="B207" s="121"/>
      <c r="C207" s="122"/>
      <c r="D207" s="103" t="str">
        <f t="shared" si="1"/>
        <v/>
      </c>
      <c r="E207" s="103" t="str">
        <f t="shared" si="2"/>
        <v/>
      </c>
      <c r="F207" s="103" t="str">
        <f t="shared" si="3"/>
        <v/>
      </c>
      <c r="G207" s="122"/>
      <c r="H207" s="103">
        <f t="shared" si="4"/>
        <v>0</v>
      </c>
      <c r="I207" s="108">
        <f t="shared" si="5"/>
        <v>0</v>
      </c>
      <c r="J207" s="114"/>
      <c r="K207" s="83"/>
      <c r="L207" s="83"/>
      <c r="M207" s="83"/>
      <c r="N207" s="83"/>
      <c r="O207" s="83"/>
      <c r="P207" s="83"/>
      <c r="Q207" s="83"/>
      <c r="R207" s="83"/>
      <c r="S207" s="83"/>
      <c r="T207" s="83"/>
      <c r="U207" s="83"/>
      <c r="V207" s="83"/>
      <c r="W207" s="83"/>
      <c r="X207" s="83"/>
      <c r="Y207" s="83"/>
      <c r="Z207" s="114"/>
      <c r="AA207" s="115" t="str">
        <f t="shared" si="6"/>
        <v/>
      </c>
      <c r="AB207" s="115">
        <f t="shared" si="7"/>
        <v>0</v>
      </c>
      <c r="AC207" s="115">
        <f t="shared" si="8"/>
        <v>0</v>
      </c>
      <c r="AD207" s="115">
        <f t="shared" si="9"/>
        <v>0</v>
      </c>
    </row>
    <row r="208">
      <c r="A208" s="101"/>
      <c r="B208" s="121"/>
      <c r="C208" s="122"/>
      <c r="D208" s="103" t="str">
        <f t="shared" si="1"/>
        <v/>
      </c>
      <c r="E208" s="103" t="str">
        <f t="shared" si="2"/>
        <v/>
      </c>
      <c r="F208" s="103" t="str">
        <f t="shared" si="3"/>
        <v/>
      </c>
      <c r="G208" s="122"/>
      <c r="H208" s="103">
        <f t="shared" si="4"/>
        <v>0</v>
      </c>
      <c r="I208" s="108">
        <f t="shared" si="5"/>
        <v>0</v>
      </c>
      <c r="J208" s="114"/>
      <c r="K208" s="83"/>
      <c r="L208" s="83"/>
      <c r="M208" s="83"/>
      <c r="N208" s="83"/>
      <c r="O208" s="83"/>
      <c r="P208" s="83"/>
      <c r="Q208" s="83"/>
      <c r="R208" s="83"/>
      <c r="S208" s="83"/>
      <c r="T208" s="83"/>
      <c r="U208" s="83"/>
      <c r="V208" s="83"/>
      <c r="W208" s="83"/>
      <c r="X208" s="83"/>
      <c r="Y208" s="83"/>
      <c r="Z208" s="114"/>
      <c r="AA208" s="115" t="str">
        <f t="shared" si="6"/>
        <v/>
      </c>
      <c r="AB208" s="115">
        <f t="shared" si="7"/>
        <v>0</v>
      </c>
      <c r="AC208" s="115">
        <f t="shared" si="8"/>
        <v>0</v>
      </c>
      <c r="AD208" s="115">
        <f t="shared" si="9"/>
        <v>0</v>
      </c>
    </row>
    <row r="209">
      <c r="A209" s="101"/>
      <c r="B209" s="121"/>
      <c r="C209" s="122"/>
      <c r="D209" s="103" t="str">
        <f t="shared" si="1"/>
        <v/>
      </c>
      <c r="E209" s="103" t="str">
        <f t="shared" si="2"/>
        <v/>
      </c>
      <c r="F209" s="103" t="str">
        <f t="shared" si="3"/>
        <v/>
      </c>
      <c r="G209" s="122"/>
      <c r="H209" s="103">
        <f t="shared" si="4"/>
        <v>0</v>
      </c>
      <c r="I209" s="108">
        <f t="shared" si="5"/>
        <v>0</v>
      </c>
      <c r="J209" s="114"/>
      <c r="K209" s="83"/>
      <c r="L209" s="83"/>
      <c r="M209" s="83"/>
      <c r="N209" s="83"/>
      <c r="O209" s="83"/>
      <c r="P209" s="83"/>
      <c r="Q209" s="83"/>
      <c r="R209" s="83"/>
      <c r="S209" s="83"/>
      <c r="T209" s="83"/>
      <c r="U209" s="83"/>
      <c r="V209" s="83"/>
      <c r="W209" s="83"/>
      <c r="X209" s="83"/>
      <c r="Y209" s="83"/>
      <c r="Z209" s="114"/>
      <c r="AA209" s="115" t="str">
        <f t="shared" si="6"/>
        <v/>
      </c>
      <c r="AB209" s="115">
        <f t="shared" si="7"/>
        <v>0</v>
      </c>
      <c r="AC209" s="115">
        <f t="shared" si="8"/>
        <v>0</v>
      </c>
      <c r="AD209" s="115">
        <f t="shared" si="9"/>
        <v>0</v>
      </c>
    </row>
    <row r="210">
      <c r="A210" s="101"/>
      <c r="B210" s="121"/>
      <c r="C210" s="122"/>
      <c r="D210" s="103" t="str">
        <f t="shared" si="1"/>
        <v/>
      </c>
      <c r="E210" s="103" t="str">
        <f t="shared" si="2"/>
        <v/>
      </c>
      <c r="F210" s="103" t="str">
        <f t="shared" si="3"/>
        <v/>
      </c>
      <c r="G210" s="122"/>
      <c r="H210" s="103">
        <f t="shared" si="4"/>
        <v>0</v>
      </c>
      <c r="I210" s="108">
        <f t="shared" si="5"/>
        <v>0</v>
      </c>
      <c r="J210" s="114"/>
      <c r="K210" s="83"/>
      <c r="L210" s="83"/>
      <c r="M210" s="83"/>
      <c r="N210" s="83"/>
      <c r="O210" s="83"/>
      <c r="P210" s="83"/>
      <c r="Q210" s="83"/>
      <c r="R210" s="83"/>
      <c r="S210" s="83"/>
      <c r="T210" s="83"/>
      <c r="U210" s="83"/>
      <c r="V210" s="83"/>
      <c r="W210" s="83"/>
      <c r="X210" s="83"/>
      <c r="Y210" s="83"/>
      <c r="Z210" s="114"/>
      <c r="AA210" s="115" t="str">
        <f t="shared" si="6"/>
        <v/>
      </c>
      <c r="AB210" s="115">
        <f t="shared" si="7"/>
        <v>0</v>
      </c>
      <c r="AC210" s="115">
        <f t="shared" si="8"/>
        <v>0</v>
      </c>
      <c r="AD210" s="115">
        <f t="shared" si="9"/>
        <v>0</v>
      </c>
    </row>
    <row r="211">
      <c r="A211" s="101"/>
      <c r="B211" s="121"/>
      <c r="C211" s="122"/>
      <c r="D211" s="103" t="str">
        <f t="shared" si="1"/>
        <v/>
      </c>
      <c r="E211" s="103" t="str">
        <f t="shared" si="2"/>
        <v/>
      </c>
      <c r="F211" s="103" t="str">
        <f t="shared" si="3"/>
        <v/>
      </c>
      <c r="G211" s="122"/>
      <c r="H211" s="103">
        <f t="shared" si="4"/>
        <v>0</v>
      </c>
      <c r="I211" s="108">
        <f t="shared" si="5"/>
        <v>0</v>
      </c>
      <c r="J211" s="114"/>
      <c r="K211" s="83"/>
      <c r="L211" s="83"/>
      <c r="M211" s="83"/>
      <c r="N211" s="83"/>
      <c r="O211" s="83"/>
      <c r="P211" s="83"/>
      <c r="Q211" s="83"/>
      <c r="R211" s="83"/>
      <c r="S211" s="83"/>
      <c r="T211" s="83"/>
      <c r="U211" s="83"/>
      <c r="V211" s="83"/>
      <c r="W211" s="83"/>
      <c r="X211" s="83"/>
      <c r="Y211" s="83"/>
      <c r="Z211" s="114"/>
      <c r="AA211" s="115" t="str">
        <f t="shared" si="6"/>
        <v/>
      </c>
      <c r="AB211" s="115">
        <f t="shared" si="7"/>
        <v>0</v>
      </c>
      <c r="AC211" s="115">
        <f t="shared" si="8"/>
        <v>0</v>
      </c>
      <c r="AD211" s="115">
        <f t="shared" si="9"/>
        <v>0</v>
      </c>
    </row>
    <row r="212">
      <c r="A212" s="101"/>
      <c r="B212" s="121"/>
      <c r="C212" s="122"/>
      <c r="D212" s="103" t="str">
        <f t="shared" si="1"/>
        <v/>
      </c>
      <c r="E212" s="103" t="str">
        <f t="shared" si="2"/>
        <v/>
      </c>
      <c r="F212" s="103" t="str">
        <f t="shared" si="3"/>
        <v/>
      </c>
      <c r="G212" s="122"/>
      <c r="H212" s="103">
        <f t="shared" si="4"/>
        <v>0</v>
      </c>
      <c r="I212" s="108">
        <f t="shared" si="5"/>
        <v>0</v>
      </c>
      <c r="J212" s="114"/>
      <c r="K212" s="83"/>
      <c r="L212" s="83"/>
      <c r="M212" s="83"/>
      <c r="N212" s="83"/>
      <c r="O212" s="83"/>
      <c r="P212" s="83"/>
      <c r="Q212" s="83"/>
      <c r="R212" s="83"/>
      <c r="S212" s="83"/>
      <c r="T212" s="83"/>
      <c r="U212" s="83"/>
      <c r="V212" s="83"/>
      <c r="W212" s="83"/>
      <c r="X212" s="83"/>
      <c r="Y212" s="83"/>
      <c r="Z212" s="114"/>
      <c r="AA212" s="115" t="str">
        <f t="shared" si="6"/>
        <v/>
      </c>
      <c r="AB212" s="115">
        <f t="shared" si="7"/>
        <v>0</v>
      </c>
      <c r="AC212" s="115">
        <f t="shared" si="8"/>
        <v>0</v>
      </c>
      <c r="AD212" s="115">
        <f t="shared" si="9"/>
        <v>0</v>
      </c>
    </row>
    <row r="213">
      <c r="A213" s="101"/>
      <c r="B213" s="121"/>
      <c r="C213" s="122"/>
      <c r="D213" s="103" t="str">
        <f t="shared" si="1"/>
        <v/>
      </c>
      <c r="E213" s="103" t="str">
        <f t="shared" si="2"/>
        <v/>
      </c>
      <c r="F213" s="103" t="str">
        <f t="shared" si="3"/>
        <v/>
      </c>
      <c r="G213" s="122"/>
      <c r="H213" s="103">
        <f t="shared" si="4"/>
        <v>0</v>
      </c>
      <c r="I213" s="108">
        <f t="shared" si="5"/>
        <v>0</v>
      </c>
      <c r="J213" s="114"/>
      <c r="K213" s="83"/>
      <c r="L213" s="83"/>
      <c r="M213" s="83"/>
      <c r="N213" s="83"/>
      <c r="O213" s="83"/>
      <c r="P213" s="83"/>
      <c r="Q213" s="83"/>
      <c r="R213" s="83"/>
      <c r="S213" s="83"/>
      <c r="T213" s="83"/>
      <c r="U213" s="83"/>
      <c r="V213" s="83"/>
      <c r="W213" s="83"/>
      <c r="X213" s="83"/>
      <c r="Y213" s="83"/>
      <c r="Z213" s="114"/>
      <c r="AA213" s="115" t="str">
        <f t="shared" si="6"/>
        <v/>
      </c>
      <c r="AB213" s="115">
        <f t="shared" si="7"/>
        <v>0</v>
      </c>
      <c r="AC213" s="115">
        <f t="shared" si="8"/>
        <v>0</v>
      </c>
      <c r="AD213" s="115">
        <f t="shared" si="9"/>
        <v>0</v>
      </c>
    </row>
    <row r="214">
      <c r="A214" s="101"/>
      <c r="B214" s="121"/>
      <c r="C214" s="122"/>
      <c r="D214" s="103" t="str">
        <f t="shared" si="1"/>
        <v/>
      </c>
      <c r="E214" s="103" t="str">
        <f t="shared" si="2"/>
        <v/>
      </c>
      <c r="F214" s="103" t="str">
        <f t="shared" si="3"/>
        <v/>
      </c>
      <c r="G214" s="122"/>
      <c r="H214" s="103">
        <f t="shared" si="4"/>
        <v>0</v>
      </c>
      <c r="I214" s="108">
        <f t="shared" si="5"/>
        <v>0</v>
      </c>
      <c r="J214" s="114"/>
      <c r="K214" s="83"/>
      <c r="L214" s="83"/>
      <c r="M214" s="83"/>
      <c r="N214" s="83"/>
      <c r="O214" s="83"/>
      <c r="P214" s="83"/>
      <c r="Q214" s="83"/>
      <c r="R214" s="83"/>
      <c r="S214" s="83"/>
      <c r="T214" s="83"/>
      <c r="U214" s="83"/>
      <c r="V214" s="83"/>
      <c r="W214" s="83"/>
      <c r="X214" s="83"/>
      <c r="Y214" s="83"/>
      <c r="Z214" s="114"/>
      <c r="AA214" s="115" t="str">
        <f t="shared" si="6"/>
        <v/>
      </c>
      <c r="AB214" s="115">
        <f t="shared" si="7"/>
        <v>0</v>
      </c>
      <c r="AC214" s="115">
        <f t="shared" si="8"/>
        <v>0</v>
      </c>
      <c r="AD214" s="115">
        <f t="shared" si="9"/>
        <v>0</v>
      </c>
    </row>
    <row r="215">
      <c r="A215" s="101"/>
      <c r="B215" s="121"/>
      <c r="C215" s="122"/>
      <c r="D215" s="103" t="str">
        <f t="shared" si="1"/>
        <v/>
      </c>
      <c r="E215" s="103" t="str">
        <f t="shared" si="2"/>
        <v/>
      </c>
      <c r="F215" s="103" t="str">
        <f t="shared" si="3"/>
        <v/>
      </c>
      <c r="G215" s="122"/>
      <c r="H215" s="103">
        <f t="shared" si="4"/>
        <v>0</v>
      </c>
      <c r="I215" s="108">
        <f t="shared" si="5"/>
        <v>0</v>
      </c>
      <c r="J215" s="114"/>
      <c r="K215" s="83"/>
      <c r="L215" s="83"/>
      <c r="M215" s="83"/>
      <c r="N215" s="83"/>
      <c r="O215" s="83"/>
      <c r="P215" s="83"/>
      <c r="Q215" s="83"/>
      <c r="R215" s="83"/>
      <c r="S215" s="83"/>
      <c r="T215" s="83"/>
      <c r="U215" s="83"/>
      <c r="V215" s="83"/>
      <c r="W215" s="83"/>
      <c r="X215" s="83"/>
      <c r="Y215" s="83"/>
      <c r="Z215" s="114"/>
      <c r="AA215" s="115" t="str">
        <f t="shared" si="6"/>
        <v/>
      </c>
      <c r="AB215" s="115">
        <f t="shared" si="7"/>
        <v>0</v>
      </c>
      <c r="AC215" s="115">
        <f t="shared" si="8"/>
        <v>0</v>
      </c>
      <c r="AD215" s="115">
        <f t="shared" si="9"/>
        <v>0</v>
      </c>
    </row>
    <row r="216">
      <c r="A216" s="101"/>
      <c r="B216" s="121"/>
      <c r="C216" s="122"/>
      <c r="D216" s="103" t="str">
        <f t="shared" si="1"/>
        <v/>
      </c>
      <c r="E216" s="103" t="str">
        <f t="shared" si="2"/>
        <v/>
      </c>
      <c r="F216" s="103" t="str">
        <f t="shared" si="3"/>
        <v/>
      </c>
      <c r="G216" s="122"/>
      <c r="H216" s="103">
        <f t="shared" si="4"/>
        <v>0</v>
      </c>
      <c r="I216" s="108">
        <f t="shared" si="5"/>
        <v>0</v>
      </c>
      <c r="J216" s="114"/>
      <c r="K216" s="83"/>
      <c r="L216" s="83"/>
      <c r="M216" s="83"/>
      <c r="N216" s="83"/>
      <c r="O216" s="83"/>
      <c r="P216" s="83"/>
      <c r="Q216" s="83"/>
      <c r="R216" s="83"/>
      <c r="S216" s="83"/>
      <c r="T216" s="83"/>
      <c r="U216" s="83"/>
      <c r="V216" s="83"/>
      <c r="W216" s="83"/>
      <c r="X216" s="83"/>
      <c r="Y216" s="83"/>
      <c r="Z216" s="114"/>
      <c r="AA216" s="115" t="str">
        <f t="shared" si="6"/>
        <v/>
      </c>
      <c r="AB216" s="115">
        <f t="shared" si="7"/>
        <v>0</v>
      </c>
      <c r="AC216" s="115">
        <f t="shared" si="8"/>
        <v>0</v>
      </c>
      <c r="AD216" s="115">
        <f t="shared" si="9"/>
        <v>0</v>
      </c>
    </row>
    <row r="217">
      <c r="A217" s="101"/>
      <c r="B217" s="121"/>
      <c r="C217" s="122"/>
      <c r="D217" s="103" t="str">
        <f t="shared" si="1"/>
        <v/>
      </c>
      <c r="E217" s="103" t="str">
        <f t="shared" si="2"/>
        <v/>
      </c>
      <c r="F217" s="103" t="str">
        <f t="shared" si="3"/>
        <v/>
      </c>
      <c r="G217" s="122"/>
      <c r="H217" s="103">
        <f t="shared" si="4"/>
        <v>0</v>
      </c>
      <c r="I217" s="108">
        <f t="shared" si="5"/>
        <v>0</v>
      </c>
      <c r="J217" s="114"/>
      <c r="K217" s="83"/>
      <c r="L217" s="83"/>
      <c r="M217" s="83"/>
      <c r="N217" s="83"/>
      <c r="O217" s="83"/>
      <c r="P217" s="83"/>
      <c r="Q217" s="83"/>
      <c r="R217" s="83"/>
      <c r="S217" s="83"/>
      <c r="T217" s="83"/>
      <c r="U217" s="83"/>
      <c r="V217" s="83"/>
      <c r="W217" s="83"/>
      <c r="X217" s="83"/>
      <c r="Y217" s="83"/>
      <c r="Z217" s="114"/>
      <c r="AA217" s="115" t="str">
        <f t="shared" si="6"/>
        <v/>
      </c>
      <c r="AB217" s="115">
        <f t="shared" si="7"/>
        <v>0</v>
      </c>
      <c r="AC217" s="115">
        <f t="shared" si="8"/>
        <v>0</v>
      </c>
      <c r="AD217" s="115">
        <f t="shared" si="9"/>
        <v>0</v>
      </c>
    </row>
    <row r="218">
      <c r="A218" s="101"/>
      <c r="B218" s="121"/>
      <c r="C218" s="122"/>
      <c r="D218" s="103" t="str">
        <f t="shared" si="1"/>
        <v/>
      </c>
      <c r="E218" s="103" t="str">
        <f t="shared" si="2"/>
        <v/>
      </c>
      <c r="F218" s="103" t="str">
        <f t="shared" si="3"/>
        <v/>
      </c>
      <c r="G218" s="122"/>
      <c r="H218" s="103">
        <f t="shared" si="4"/>
        <v>0</v>
      </c>
      <c r="I218" s="108">
        <f t="shared" si="5"/>
        <v>0</v>
      </c>
      <c r="J218" s="114"/>
      <c r="K218" s="83"/>
      <c r="L218" s="83"/>
      <c r="M218" s="83"/>
      <c r="N218" s="83"/>
      <c r="O218" s="83"/>
      <c r="P218" s="83"/>
      <c r="Q218" s="83"/>
      <c r="R218" s="83"/>
      <c r="S218" s="83"/>
      <c r="T218" s="83"/>
      <c r="U218" s="83"/>
      <c r="V218" s="83"/>
      <c r="W218" s="83"/>
      <c r="X218" s="83"/>
      <c r="Y218" s="83"/>
      <c r="Z218" s="114"/>
      <c r="AA218" s="115" t="str">
        <f t="shared" si="6"/>
        <v/>
      </c>
      <c r="AB218" s="115">
        <f t="shared" si="7"/>
        <v>0</v>
      </c>
      <c r="AC218" s="115">
        <f t="shared" si="8"/>
        <v>0</v>
      </c>
      <c r="AD218" s="115">
        <f t="shared" si="9"/>
        <v>0</v>
      </c>
    </row>
    <row r="219">
      <c r="A219" s="101"/>
      <c r="B219" s="121"/>
      <c r="C219" s="122"/>
      <c r="D219" s="103" t="str">
        <f t="shared" si="1"/>
        <v/>
      </c>
      <c r="E219" s="103" t="str">
        <f t="shared" si="2"/>
        <v/>
      </c>
      <c r="F219" s="103" t="str">
        <f t="shared" si="3"/>
        <v/>
      </c>
      <c r="G219" s="122"/>
      <c r="H219" s="103">
        <f t="shared" si="4"/>
        <v>0</v>
      </c>
      <c r="I219" s="108">
        <f t="shared" si="5"/>
        <v>0</v>
      </c>
      <c r="J219" s="114"/>
      <c r="K219" s="83"/>
      <c r="L219" s="83"/>
      <c r="M219" s="83"/>
      <c r="N219" s="83"/>
      <c r="O219" s="83"/>
      <c r="P219" s="83"/>
      <c r="Q219" s="83"/>
      <c r="R219" s="83"/>
      <c r="S219" s="83"/>
      <c r="T219" s="83"/>
      <c r="U219" s="83"/>
      <c r="V219" s="83"/>
      <c r="W219" s="83"/>
      <c r="X219" s="83"/>
      <c r="Y219" s="83"/>
      <c r="Z219" s="114"/>
      <c r="AA219" s="115" t="str">
        <f t="shared" si="6"/>
        <v/>
      </c>
      <c r="AB219" s="115">
        <f t="shared" si="7"/>
        <v>0</v>
      </c>
      <c r="AC219" s="115">
        <f t="shared" si="8"/>
        <v>0</v>
      </c>
      <c r="AD219" s="115">
        <f t="shared" si="9"/>
        <v>0</v>
      </c>
    </row>
    <row r="220">
      <c r="A220" s="101"/>
      <c r="B220" s="121"/>
      <c r="C220" s="122"/>
      <c r="D220" s="103" t="str">
        <f t="shared" si="1"/>
        <v/>
      </c>
      <c r="E220" s="103" t="str">
        <f t="shared" si="2"/>
        <v/>
      </c>
      <c r="F220" s="103" t="str">
        <f t="shared" si="3"/>
        <v/>
      </c>
      <c r="G220" s="122"/>
      <c r="H220" s="103">
        <f t="shared" si="4"/>
        <v>0</v>
      </c>
      <c r="I220" s="108">
        <f t="shared" si="5"/>
        <v>0</v>
      </c>
      <c r="J220" s="114"/>
      <c r="K220" s="83"/>
      <c r="L220" s="83"/>
      <c r="M220" s="83"/>
      <c r="N220" s="83"/>
      <c r="O220" s="83"/>
      <c r="P220" s="83"/>
      <c r="Q220" s="83"/>
      <c r="R220" s="83"/>
      <c r="S220" s="83"/>
      <c r="T220" s="83"/>
      <c r="U220" s="83"/>
      <c r="V220" s="83"/>
      <c r="W220" s="83"/>
      <c r="X220" s="83"/>
      <c r="Y220" s="83"/>
      <c r="Z220" s="114"/>
      <c r="AA220" s="115" t="str">
        <f t="shared" si="6"/>
        <v/>
      </c>
      <c r="AB220" s="115">
        <f t="shared" si="7"/>
        <v>0</v>
      </c>
      <c r="AC220" s="115">
        <f t="shared" si="8"/>
        <v>0</v>
      </c>
      <c r="AD220" s="115">
        <f t="shared" si="9"/>
        <v>0</v>
      </c>
    </row>
    <row r="221">
      <c r="A221" s="101"/>
      <c r="B221" s="121"/>
      <c r="C221" s="122"/>
      <c r="D221" s="103" t="str">
        <f t="shared" si="1"/>
        <v/>
      </c>
      <c r="E221" s="103" t="str">
        <f t="shared" si="2"/>
        <v/>
      </c>
      <c r="F221" s="103" t="str">
        <f t="shared" si="3"/>
        <v/>
      </c>
      <c r="G221" s="122"/>
      <c r="H221" s="103">
        <f t="shared" si="4"/>
        <v>0</v>
      </c>
      <c r="I221" s="108">
        <f t="shared" si="5"/>
        <v>0</v>
      </c>
      <c r="J221" s="114"/>
      <c r="K221" s="83"/>
      <c r="L221" s="83"/>
      <c r="M221" s="83"/>
      <c r="N221" s="83"/>
      <c r="O221" s="83"/>
      <c r="P221" s="83"/>
      <c r="Q221" s="83"/>
      <c r="R221" s="83"/>
      <c r="S221" s="83"/>
      <c r="T221" s="83"/>
      <c r="U221" s="83"/>
      <c r="V221" s="83"/>
      <c r="W221" s="83"/>
      <c r="X221" s="83"/>
      <c r="Y221" s="83"/>
      <c r="Z221" s="114"/>
      <c r="AA221" s="115" t="str">
        <f t="shared" si="6"/>
        <v/>
      </c>
      <c r="AB221" s="115">
        <f t="shared" si="7"/>
        <v>0</v>
      </c>
      <c r="AC221" s="115">
        <f t="shared" si="8"/>
        <v>0</v>
      </c>
      <c r="AD221" s="115">
        <f t="shared" si="9"/>
        <v>0</v>
      </c>
    </row>
    <row r="222">
      <c r="A222" s="101"/>
      <c r="B222" s="121"/>
      <c r="C222" s="122"/>
      <c r="D222" s="103" t="str">
        <f t="shared" si="1"/>
        <v/>
      </c>
      <c r="E222" s="103" t="str">
        <f t="shared" si="2"/>
        <v/>
      </c>
      <c r="F222" s="103" t="str">
        <f t="shared" si="3"/>
        <v/>
      </c>
      <c r="G222" s="122"/>
      <c r="H222" s="103">
        <f t="shared" si="4"/>
        <v>0</v>
      </c>
      <c r="I222" s="108">
        <f t="shared" si="5"/>
        <v>0</v>
      </c>
      <c r="J222" s="114"/>
      <c r="K222" s="83"/>
      <c r="L222" s="83"/>
      <c r="M222" s="83"/>
      <c r="N222" s="83"/>
      <c r="O222" s="83"/>
      <c r="P222" s="83"/>
      <c r="Q222" s="83"/>
      <c r="R222" s="83"/>
      <c r="S222" s="83"/>
      <c r="T222" s="83"/>
      <c r="U222" s="83"/>
      <c r="V222" s="83"/>
      <c r="W222" s="83"/>
      <c r="X222" s="83"/>
      <c r="Y222" s="83"/>
      <c r="Z222" s="114"/>
      <c r="AA222" s="115" t="str">
        <f t="shared" si="6"/>
        <v/>
      </c>
      <c r="AB222" s="115">
        <f t="shared" si="7"/>
        <v>0</v>
      </c>
      <c r="AC222" s="115">
        <f t="shared" si="8"/>
        <v>0</v>
      </c>
      <c r="AD222" s="115">
        <f t="shared" si="9"/>
        <v>0</v>
      </c>
    </row>
    <row r="223">
      <c r="A223" s="101"/>
      <c r="B223" s="121"/>
      <c r="C223" s="122"/>
      <c r="D223" s="103" t="str">
        <f t="shared" si="1"/>
        <v/>
      </c>
      <c r="E223" s="103" t="str">
        <f t="shared" si="2"/>
        <v/>
      </c>
      <c r="F223" s="103" t="str">
        <f t="shared" si="3"/>
        <v/>
      </c>
      <c r="G223" s="122"/>
      <c r="H223" s="103">
        <f t="shared" si="4"/>
        <v>0</v>
      </c>
      <c r="I223" s="108">
        <f t="shared" si="5"/>
        <v>0</v>
      </c>
      <c r="J223" s="114"/>
      <c r="K223" s="83"/>
      <c r="L223" s="83"/>
      <c r="M223" s="83"/>
      <c r="N223" s="83"/>
      <c r="O223" s="83"/>
      <c r="P223" s="83"/>
      <c r="Q223" s="83"/>
      <c r="R223" s="83"/>
      <c r="S223" s="83"/>
      <c r="T223" s="83"/>
      <c r="U223" s="83"/>
      <c r="V223" s="83"/>
      <c r="W223" s="83"/>
      <c r="X223" s="83"/>
      <c r="Y223" s="83"/>
      <c r="Z223" s="114"/>
      <c r="AA223" s="115" t="str">
        <f t="shared" si="6"/>
        <v/>
      </c>
      <c r="AB223" s="115">
        <f t="shared" si="7"/>
        <v>0</v>
      </c>
      <c r="AC223" s="115">
        <f t="shared" si="8"/>
        <v>0</v>
      </c>
      <c r="AD223" s="115">
        <f t="shared" si="9"/>
        <v>0</v>
      </c>
    </row>
    <row r="224">
      <c r="A224" s="101"/>
      <c r="B224" s="121"/>
      <c r="C224" s="122"/>
      <c r="D224" s="103" t="str">
        <f t="shared" si="1"/>
        <v/>
      </c>
      <c r="E224" s="103" t="str">
        <f t="shared" si="2"/>
        <v/>
      </c>
      <c r="F224" s="103" t="str">
        <f t="shared" si="3"/>
        <v/>
      </c>
      <c r="G224" s="122"/>
      <c r="H224" s="103">
        <f t="shared" si="4"/>
        <v>0</v>
      </c>
      <c r="I224" s="108">
        <f t="shared" si="5"/>
        <v>0</v>
      </c>
      <c r="J224" s="114"/>
      <c r="K224" s="83"/>
      <c r="L224" s="83"/>
      <c r="M224" s="83"/>
      <c r="N224" s="83"/>
      <c r="O224" s="83"/>
      <c r="P224" s="83"/>
      <c r="Q224" s="83"/>
      <c r="R224" s="83"/>
      <c r="S224" s="83"/>
      <c r="T224" s="83"/>
      <c r="U224" s="83"/>
      <c r="V224" s="83"/>
      <c r="W224" s="83"/>
      <c r="X224" s="83"/>
      <c r="Y224" s="83"/>
      <c r="Z224" s="114"/>
      <c r="AA224" s="115" t="str">
        <f t="shared" si="6"/>
        <v/>
      </c>
      <c r="AB224" s="115">
        <f t="shared" si="7"/>
        <v>0</v>
      </c>
      <c r="AC224" s="115">
        <f t="shared" si="8"/>
        <v>0</v>
      </c>
      <c r="AD224" s="115">
        <f t="shared" si="9"/>
        <v>0</v>
      </c>
    </row>
    <row r="225">
      <c r="A225" s="101"/>
      <c r="B225" s="121"/>
      <c r="C225" s="122"/>
      <c r="D225" s="103" t="str">
        <f t="shared" si="1"/>
        <v/>
      </c>
      <c r="E225" s="103" t="str">
        <f t="shared" si="2"/>
        <v/>
      </c>
      <c r="F225" s="103" t="str">
        <f t="shared" si="3"/>
        <v/>
      </c>
      <c r="G225" s="122"/>
      <c r="H225" s="103">
        <f t="shared" si="4"/>
        <v>0</v>
      </c>
      <c r="I225" s="108">
        <f t="shared" si="5"/>
        <v>0</v>
      </c>
      <c r="J225" s="114"/>
      <c r="K225" s="83"/>
      <c r="L225" s="83"/>
      <c r="M225" s="83"/>
      <c r="N225" s="83"/>
      <c r="O225" s="83"/>
      <c r="P225" s="83"/>
      <c r="Q225" s="83"/>
      <c r="R225" s="83"/>
      <c r="S225" s="83"/>
      <c r="T225" s="83"/>
      <c r="U225" s="83"/>
      <c r="V225" s="83"/>
      <c r="W225" s="83"/>
      <c r="X225" s="83"/>
      <c r="Y225" s="83"/>
      <c r="Z225" s="114"/>
      <c r="AA225" s="115" t="str">
        <f t="shared" si="6"/>
        <v/>
      </c>
      <c r="AB225" s="115">
        <f t="shared" si="7"/>
        <v>0</v>
      </c>
      <c r="AC225" s="115">
        <f t="shared" si="8"/>
        <v>0</v>
      </c>
      <c r="AD225" s="115">
        <f t="shared" si="9"/>
        <v>0</v>
      </c>
    </row>
    <row r="226">
      <c r="A226" s="101"/>
      <c r="B226" s="121"/>
      <c r="C226" s="122"/>
      <c r="D226" s="103" t="str">
        <f t="shared" si="1"/>
        <v/>
      </c>
      <c r="E226" s="103" t="str">
        <f t="shared" si="2"/>
        <v/>
      </c>
      <c r="F226" s="103" t="str">
        <f t="shared" si="3"/>
        <v/>
      </c>
      <c r="G226" s="122"/>
      <c r="H226" s="103">
        <f t="shared" si="4"/>
        <v>0</v>
      </c>
      <c r="I226" s="108">
        <f t="shared" si="5"/>
        <v>0</v>
      </c>
      <c r="J226" s="114"/>
      <c r="K226" s="83"/>
      <c r="L226" s="83"/>
      <c r="M226" s="83"/>
      <c r="N226" s="83"/>
      <c r="O226" s="83"/>
      <c r="P226" s="83"/>
      <c r="Q226" s="83"/>
      <c r="R226" s="83"/>
      <c r="S226" s="83"/>
      <c r="T226" s="83"/>
      <c r="U226" s="83"/>
      <c r="V226" s="83"/>
      <c r="W226" s="83"/>
      <c r="X226" s="83"/>
      <c r="Y226" s="83"/>
      <c r="Z226" s="114"/>
      <c r="AA226" s="115" t="str">
        <f t="shared" si="6"/>
        <v/>
      </c>
      <c r="AB226" s="115">
        <f t="shared" si="7"/>
        <v>0</v>
      </c>
      <c r="AC226" s="115">
        <f t="shared" si="8"/>
        <v>0</v>
      </c>
      <c r="AD226" s="115">
        <f t="shared" si="9"/>
        <v>0</v>
      </c>
    </row>
    <row r="227">
      <c r="A227" s="101"/>
      <c r="B227" s="121"/>
      <c r="C227" s="122"/>
      <c r="D227" s="103" t="str">
        <f t="shared" si="1"/>
        <v/>
      </c>
      <c r="E227" s="103" t="str">
        <f t="shared" si="2"/>
        <v/>
      </c>
      <c r="F227" s="103" t="str">
        <f t="shared" si="3"/>
        <v/>
      </c>
      <c r="G227" s="122"/>
      <c r="H227" s="103">
        <f t="shared" si="4"/>
        <v>0</v>
      </c>
      <c r="I227" s="108">
        <f t="shared" si="5"/>
        <v>0</v>
      </c>
      <c r="J227" s="114"/>
      <c r="K227" s="83"/>
      <c r="L227" s="83"/>
      <c r="M227" s="83"/>
      <c r="N227" s="83"/>
      <c r="O227" s="83"/>
      <c r="P227" s="83"/>
      <c r="Q227" s="83"/>
      <c r="R227" s="83"/>
      <c r="S227" s="83"/>
      <c r="T227" s="83"/>
      <c r="U227" s="83"/>
      <c r="V227" s="83"/>
      <c r="W227" s="83"/>
      <c r="X227" s="83"/>
      <c r="Y227" s="83"/>
      <c r="Z227" s="114"/>
      <c r="AA227" s="115" t="str">
        <f t="shared" si="6"/>
        <v/>
      </c>
      <c r="AB227" s="115">
        <f t="shared" si="7"/>
        <v>0</v>
      </c>
      <c r="AC227" s="115">
        <f t="shared" si="8"/>
        <v>0</v>
      </c>
      <c r="AD227" s="115">
        <f t="shared" si="9"/>
        <v>0</v>
      </c>
    </row>
    <row r="228">
      <c r="A228" s="101"/>
      <c r="B228" s="121"/>
      <c r="C228" s="122"/>
      <c r="D228" s="103" t="str">
        <f t="shared" si="1"/>
        <v/>
      </c>
      <c r="E228" s="103" t="str">
        <f t="shared" si="2"/>
        <v/>
      </c>
      <c r="F228" s="103" t="str">
        <f t="shared" si="3"/>
        <v/>
      </c>
      <c r="G228" s="122"/>
      <c r="H228" s="103">
        <f t="shared" si="4"/>
        <v>0</v>
      </c>
      <c r="I228" s="108">
        <f t="shared" si="5"/>
        <v>0</v>
      </c>
      <c r="J228" s="114"/>
      <c r="K228" s="83"/>
      <c r="L228" s="83"/>
      <c r="M228" s="83"/>
      <c r="N228" s="83"/>
      <c r="O228" s="83"/>
      <c r="P228" s="83"/>
      <c r="Q228" s="83"/>
      <c r="R228" s="83"/>
      <c r="S228" s="83"/>
      <c r="T228" s="83"/>
      <c r="U228" s="83"/>
      <c r="V228" s="83"/>
      <c r="W228" s="83"/>
      <c r="X228" s="83"/>
      <c r="Y228" s="83"/>
      <c r="Z228" s="114"/>
      <c r="AA228" s="115" t="str">
        <f t="shared" si="6"/>
        <v/>
      </c>
      <c r="AB228" s="115">
        <f t="shared" si="7"/>
        <v>0</v>
      </c>
      <c r="AC228" s="115">
        <f t="shared" si="8"/>
        <v>0</v>
      </c>
      <c r="AD228" s="115">
        <f t="shared" si="9"/>
        <v>0</v>
      </c>
    </row>
    <row r="229">
      <c r="A229" s="101"/>
      <c r="B229" s="121"/>
      <c r="C229" s="122"/>
      <c r="D229" s="103" t="str">
        <f t="shared" si="1"/>
        <v/>
      </c>
      <c r="E229" s="103" t="str">
        <f t="shared" si="2"/>
        <v/>
      </c>
      <c r="F229" s="103" t="str">
        <f t="shared" si="3"/>
        <v/>
      </c>
      <c r="G229" s="122"/>
      <c r="H229" s="103">
        <f t="shared" si="4"/>
        <v>0</v>
      </c>
      <c r="I229" s="108">
        <f t="shared" si="5"/>
        <v>0</v>
      </c>
      <c r="J229" s="114"/>
      <c r="K229" s="83"/>
      <c r="L229" s="83"/>
      <c r="M229" s="83"/>
      <c r="N229" s="83"/>
      <c r="O229" s="83"/>
      <c r="P229" s="83"/>
      <c r="Q229" s="83"/>
      <c r="R229" s="83"/>
      <c r="S229" s="83"/>
      <c r="T229" s="83"/>
      <c r="U229" s="83"/>
      <c r="V229" s="83"/>
      <c r="W229" s="83"/>
      <c r="X229" s="83"/>
      <c r="Y229" s="83"/>
      <c r="Z229" s="114"/>
      <c r="AA229" s="115" t="str">
        <f t="shared" si="6"/>
        <v/>
      </c>
      <c r="AB229" s="115">
        <f t="shared" si="7"/>
        <v>0</v>
      </c>
      <c r="AC229" s="115">
        <f t="shared" si="8"/>
        <v>0</v>
      </c>
      <c r="AD229" s="115">
        <f t="shared" si="9"/>
        <v>0</v>
      </c>
    </row>
    <row r="230">
      <c r="A230" s="101"/>
      <c r="B230" s="121"/>
      <c r="C230" s="122"/>
      <c r="D230" s="103" t="str">
        <f t="shared" si="1"/>
        <v/>
      </c>
      <c r="E230" s="103" t="str">
        <f t="shared" si="2"/>
        <v/>
      </c>
      <c r="F230" s="103" t="str">
        <f t="shared" si="3"/>
        <v/>
      </c>
      <c r="G230" s="122"/>
      <c r="H230" s="103">
        <f t="shared" si="4"/>
        <v>0</v>
      </c>
      <c r="I230" s="108">
        <f t="shared" si="5"/>
        <v>0</v>
      </c>
      <c r="J230" s="114"/>
      <c r="K230" s="83"/>
      <c r="L230" s="83"/>
      <c r="M230" s="83"/>
      <c r="N230" s="83"/>
      <c r="O230" s="83"/>
      <c r="P230" s="83"/>
      <c r="Q230" s="83"/>
      <c r="R230" s="83"/>
      <c r="S230" s="83"/>
      <c r="T230" s="83"/>
      <c r="U230" s="83"/>
      <c r="V230" s="83"/>
      <c r="W230" s="83"/>
      <c r="X230" s="83"/>
      <c r="Y230" s="83"/>
      <c r="Z230" s="114"/>
      <c r="AA230" s="115" t="str">
        <f t="shared" si="6"/>
        <v/>
      </c>
      <c r="AB230" s="115">
        <f t="shared" si="7"/>
        <v>0</v>
      </c>
      <c r="AC230" s="115">
        <f t="shared" si="8"/>
        <v>0</v>
      </c>
      <c r="AD230" s="115">
        <f t="shared" si="9"/>
        <v>0</v>
      </c>
    </row>
    <row r="231">
      <c r="A231" s="101"/>
      <c r="B231" s="121"/>
      <c r="C231" s="122"/>
      <c r="D231" s="103" t="str">
        <f t="shared" si="1"/>
        <v/>
      </c>
      <c r="E231" s="103" t="str">
        <f t="shared" si="2"/>
        <v/>
      </c>
      <c r="F231" s="103" t="str">
        <f t="shared" si="3"/>
        <v/>
      </c>
      <c r="G231" s="122"/>
      <c r="H231" s="103">
        <f t="shared" si="4"/>
        <v>0</v>
      </c>
      <c r="I231" s="108">
        <f t="shared" si="5"/>
        <v>0</v>
      </c>
      <c r="J231" s="114"/>
      <c r="K231" s="83"/>
      <c r="L231" s="83"/>
      <c r="M231" s="83"/>
      <c r="N231" s="83"/>
      <c r="O231" s="83"/>
      <c r="P231" s="83"/>
      <c r="Q231" s="83"/>
      <c r="R231" s="83"/>
      <c r="S231" s="83"/>
      <c r="T231" s="83"/>
      <c r="U231" s="83"/>
      <c r="V231" s="83"/>
      <c r="W231" s="83"/>
      <c r="X231" s="83"/>
      <c r="Y231" s="83"/>
      <c r="Z231" s="114"/>
      <c r="AA231" s="115" t="str">
        <f t="shared" si="6"/>
        <v/>
      </c>
      <c r="AB231" s="115">
        <f t="shared" si="7"/>
        <v>0</v>
      </c>
      <c r="AC231" s="115">
        <f t="shared" si="8"/>
        <v>0</v>
      </c>
      <c r="AD231" s="115">
        <f t="shared" si="9"/>
        <v>0</v>
      </c>
    </row>
    <row r="232">
      <c r="A232" s="101"/>
      <c r="B232" s="121"/>
      <c r="C232" s="122"/>
      <c r="D232" s="103" t="str">
        <f t="shared" si="1"/>
        <v/>
      </c>
      <c r="E232" s="103" t="str">
        <f t="shared" si="2"/>
        <v/>
      </c>
      <c r="F232" s="103" t="str">
        <f t="shared" si="3"/>
        <v/>
      </c>
      <c r="G232" s="122"/>
      <c r="H232" s="103">
        <f t="shared" si="4"/>
        <v>0</v>
      </c>
      <c r="I232" s="108">
        <f t="shared" si="5"/>
        <v>0</v>
      </c>
      <c r="J232" s="114"/>
      <c r="K232" s="83"/>
      <c r="L232" s="83"/>
      <c r="M232" s="83"/>
      <c r="N232" s="83"/>
      <c r="O232" s="83"/>
      <c r="P232" s="83"/>
      <c r="Q232" s="83"/>
      <c r="R232" s="83"/>
      <c r="S232" s="83"/>
      <c r="T232" s="83"/>
      <c r="U232" s="83"/>
      <c r="V232" s="83"/>
      <c r="W232" s="83"/>
      <c r="X232" s="83"/>
      <c r="Y232" s="83"/>
      <c r="Z232" s="114"/>
      <c r="AA232" s="115" t="str">
        <f t="shared" si="6"/>
        <v/>
      </c>
      <c r="AB232" s="115">
        <f t="shared" si="7"/>
        <v>0</v>
      </c>
      <c r="AC232" s="115">
        <f t="shared" si="8"/>
        <v>0</v>
      </c>
      <c r="AD232" s="115">
        <f t="shared" si="9"/>
        <v>0</v>
      </c>
    </row>
    <row r="233">
      <c r="A233" s="101"/>
      <c r="B233" s="121"/>
      <c r="C233" s="122"/>
      <c r="D233" s="103" t="str">
        <f t="shared" si="1"/>
        <v/>
      </c>
      <c r="E233" s="103" t="str">
        <f t="shared" si="2"/>
        <v/>
      </c>
      <c r="F233" s="103" t="str">
        <f t="shared" si="3"/>
        <v/>
      </c>
      <c r="G233" s="122"/>
      <c r="H233" s="103">
        <f t="shared" si="4"/>
        <v>0</v>
      </c>
      <c r="I233" s="108">
        <f t="shared" si="5"/>
        <v>0</v>
      </c>
      <c r="J233" s="114"/>
      <c r="K233" s="83"/>
      <c r="L233" s="83"/>
      <c r="M233" s="83"/>
      <c r="N233" s="83"/>
      <c r="O233" s="83"/>
      <c r="P233" s="83"/>
      <c r="Q233" s="83"/>
      <c r="R233" s="83"/>
      <c r="S233" s="83"/>
      <c r="T233" s="83"/>
      <c r="U233" s="83"/>
      <c r="V233" s="83"/>
      <c r="W233" s="83"/>
      <c r="X233" s="83"/>
      <c r="Y233" s="83"/>
      <c r="Z233" s="114"/>
      <c r="AA233" s="115" t="str">
        <f t="shared" si="6"/>
        <v/>
      </c>
      <c r="AB233" s="115">
        <f t="shared" si="7"/>
        <v>0</v>
      </c>
      <c r="AC233" s="115">
        <f t="shared" si="8"/>
        <v>0</v>
      </c>
      <c r="AD233" s="115">
        <f t="shared" si="9"/>
        <v>0</v>
      </c>
    </row>
    <row r="234">
      <c r="A234" s="101"/>
      <c r="B234" s="121"/>
      <c r="C234" s="122"/>
      <c r="D234" s="103" t="str">
        <f t="shared" si="1"/>
        <v/>
      </c>
      <c r="E234" s="103" t="str">
        <f t="shared" si="2"/>
        <v/>
      </c>
      <c r="F234" s="103" t="str">
        <f t="shared" si="3"/>
        <v/>
      </c>
      <c r="G234" s="122"/>
      <c r="H234" s="103">
        <f t="shared" si="4"/>
        <v>0</v>
      </c>
      <c r="I234" s="108">
        <f t="shared" si="5"/>
        <v>0</v>
      </c>
      <c r="J234" s="114"/>
      <c r="K234" s="83"/>
      <c r="L234" s="83"/>
      <c r="M234" s="83"/>
      <c r="N234" s="83"/>
      <c r="O234" s="83"/>
      <c r="P234" s="83"/>
      <c r="Q234" s="83"/>
      <c r="R234" s="83"/>
      <c r="S234" s="83"/>
      <c r="T234" s="83"/>
      <c r="U234" s="83"/>
      <c r="V234" s="83"/>
      <c r="W234" s="83"/>
      <c r="X234" s="83"/>
      <c r="Y234" s="83"/>
      <c r="Z234" s="114"/>
      <c r="AA234" s="115" t="str">
        <f t="shared" si="6"/>
        <v/>
      </c>
      <c r="AB234" s="115">
        <f t="shared" si="7"/>
        <v>0</v>
      </c>
      <c r="AC234" s="115">
        <f t="shared" si="8"/>
        <v>0</v>
      </c>
      <c r="AD234" s="115">
        <f t="shared" si="9"/>
        <v>0</v>
      </c>
    </row>
    <row r="235">
      <c r="A235" s="101"/>
      <c r="B235" s="121"/>
      <c r="C235" s="122"/>
      <c r="D235" s="103" t="str">
        <f t="shared" si="1"/>
        <v/>
      </c>
      <c r="E235" s="103" t="str">
        <f t="shared" si="2"/>
        <v/>
      </c>
      <c r="F235" s="103" t="str">
        <f t="shared" si="3"/>
        <v/>
      </c>
      <c r="G235" s="122"/>
      <c r="H235" s="103">
        <f t="shared" si="4"/>
        <v>0</v>
      </c>
      <c r="I235" s="108">
        <f t="shared" si="5"/>
        <v>0</v>
      </c>
      <c r="J235" s="114"/>
      <c r="K235" s="83"/>
      <c r="L235" s="83"/>
      <c r="M235" s="83"/>
      <c r="N235" s="83"/>
      <c r="O235" s="83"/>
      <c r="P235" s="83"/>
      <c r="Q235" s="83"/>
      <c r="R235" s="83"/>
      <c r="S235" s="83"/>
      <c r="T235" s="83"/>
      <c r="U235" s="83"/>
      <c r="V235" s="83"/>
      <c r="W235" s="83"/>
      <c r="X235" s="83"/>
      <c r="Y235" s="83"/>
      <c r="Z235" s="114"/>
      <c r="AA235" s="115" t="str">
        <f t="shared" si="6"/>
        <v/>
      </c>
      <c r="AB235" s="115">
        <f t="shared" si="7"/>
        <v>0</v>
      </c>
      <c r="AC235" s="115">
        <f t="shared" si="8"/>
        <v>0</v>
      </c>
      <c r="AD235" s="115">
        <f t="shared" si="9"/>
        <v>0</v>
      </c>
    </row>
    <row r="236">
      <c r="A236" s="101"/>
      <c r="B236" s="121"/>
      <c r="C236" s="122"/>
      <c r="D236" s="103" t="str">
        <f t="shared" si="1"/>
        <v/>
      </c>
      <c r="E236" s="103" t="str">
        <f t="shared" si="2"/>
        <v/>
      </c>
      <c r="F236" s="103" t="str">
        <f t="shared" si="3"/>
        <v/>
      </c>
      <c r="G236" s="122"/>
      <c r="H236" s="103">
        <f t="shared" si="4"/>
        <v>0</v>
      </c>
      <c r="I236" s="108">
        <f t="shared" si="5"/>
        <v>0</v>
      </c>
      <c r="J236" s="114"/>
      <c r="K236" s="83"/>
      <c r="L236" s="83"/>
      <c r="M236" s="83"/>
      <c r="N236" s="83"/>
      <c r="O236" s="83"/>
      <c r="P236" s="83"/>
      <c r="Q236" s="83"/>
      <c r="R236" s="83"/>
      <c r="S236" s="83"/>
      <c r="T236" s="83"/>
      <c r="U236" s="83"/>
      <c r="V236" s="83"/>
      <c r="W236" s="83"/>
      <c r="X236" s="83"/>
      <c r="Y236" s="83"/>
      <c r="Z236" s="114"/>
      <c r="AA236" s="115" t="str">
        <f t="shared" si="6"/>
        <v/>
      </c>
      <c r="AB236" s="115">
        <f t="shared" si="7"/>
        <v>0</v>
      </c>
      <c r="AC236" s="115">
        <f t="shared" si="8"/>
        <v>0</v>
      </c>
      <c r="AD236" s="115">
        <f t="shared" si="9"/>
        <v>0</v>
      </c>
    </row>
    <row r="237">
      <c r="A237" s="101"/>
      <c r="B237" s="121"/>
      <c r="C237" s="122"/>
      <c r="D237" s="103" t="str">
        <f t="shared" si="1"/>
        <v/>
      </c>
      <c r="E237" s="103" t="str">
        <f t="shared" si="2"/>
        <v/>
      </c>
      <c r="F237" s="103" t="str">
        <f t="shared" si="3"/>
        <v/>
      </c>
      <c r="G237" s="122"/>
      <c r="H237" s="103">
        <f t="shared" si="4"/>
        <v>0</v>
      </c>
      <c r="I237" s="108">
        <f t="shared" si="5"/>
        <v>0</v>
      </c>
      <c r="J237" s="114"/>
      <c r="K237" s="83"/>
      <c r="L237" s="83"/>
      <c r="M237" s="83"/>
      <c r="N237" s="83"/>
      <c r="O237" s="83"/>
      <c r="P237" s="83"/>
      <c r="Q237" s="83"/>
      <c r="R237" s="83"/>
      <c r="S237" s="83"/>
      <c r="T237" s="83"/>
      <c r="U237" s="83"/>
      <c r="V237" s="83"/>
      <c r="W237" s="83"/>
      <c r="X237" s="83"/>
      <c r="Y237" s="83"/>
      <c r="Z237" s="114"/>
      <c r="AA237" s="115" t="str">
        <f t="shared" si="6"/>
        <v/>
      </c>
      <c r="AB237" s="115">
        <f t="shared" si="7"/>
        <v>0</v>
      </c>
      <c r="AC237" s="115">
        <f t="shared" si="8"/>
        <v>0</v>
      </c>
      <c r="AD237" s="115">
        <f t="shared" si="9"/>
        <v>0</v>
      </c>
    </row>
    <row r="238">
      <c r="A238" s="101"/>
      <c r="B238" s="121"/>
      <c r="C238" s="122"/>
      <c r="D238" s="103" t="str">
        <f t="shared" si="1"/>
        <v/>
      </c>
      <c r="E238" s="103" t="str">
        <f t="shared" si="2"/>
        <v/>
      </c>
      <c r="F238" s="103" t="str">
        <f t="shared" si="3"/>
        <v/>
      </c>
      <c r="G238" s="122"/>
      <c r="H238" s="103">
        <f t="shared" si="4"/>
        <v>0</v>
      </c>
      <c r="I238" s="108">
        <f t="shared" si="5"/>
        <v>0</v>
      </c>
      <c r="J238" s="114"/>
      <c r="K238" s="83"/>
      <c r="L238" s="83"/>
      <c r="M238" s="83"/>
      <c r="N238" s="83"/>
      <c r="O238" s="83"/>
      <c r="P238" s="83"/>
      <c r="Q238" s="83"/>
      <c r="R238" s="83"/>
      <c r="S238" s="83"/>
      <c r="T238" s="83"/>
      <c r="U238" s="83"/>
      <c r="V238" s="83"/>
      <c r="W238" s="83"/>
      <c r="X238" s="83"/>
      <c r="Y238" s="83"/>
      <c r="Z238" s="114"/>
      <c r="AA238" s="115" t="str">
        <f t="shared" si="6"/>
        <v/>
      </c>
      <c r="AB238" s="115">
        <f t="shared" si="7"/>
        <v>0</v>
      </c>
      <c r="AC238" s="115">
        <f t="shared" si="8"/>
        <v>0</v>
      </c>
      <c r="AD238" s="115">
        <f t="shared" si="9"/>
        <v>0</v>
      </c>
    </row>
    <row r="239">
      <c r="A239" s="101"/>
      <c r="B239" s="121"/>
      <c r="C239" s="122"/>
      <c r="D239" s="103" t="str">
        <f t="shared" si="1"/>
        <v/>
      </c>
      <c r="E239" s="103" t="str">
        <f t="shared" si="2"/>
        <v/>
      </c>
      <c r="F239" s="103" t="str">
        <f t="shared" si="3"/>
        <v/>
      </c>
      <c r="G239" s="122"/>
      <c r="H239" s="103">
        <f t="shared" si="4"/>
        <v>0</v>
      </c>
      <c r="I239" s="108">
        <f t="shared" si="5"/>
        <v>0</v>
      </c>
      <c r="J239" s="114"/>
      <c r="K239" s="83"/>
      <c r="L239" s="83"/>
      <c r="M239" s="83"/>
      <c r="N239" s="83"/>
      <c r="O239" s="83"/>
      <c r="P239" s="83"/>
      <c r="Q239" s="83"/>
      <c r="R239" s="83"/>
      <c r="S239" s="83"/>
      <c r="T239" s="83"/>
      <c r="U239" s="83"/>
      <c r="V239" s="83"/>
      <c r="W239" s="83"/>
      <c r="X239" s="83"/>
      <c r="Y239" s="83"/>
      <c r="Z239" s="114"/>
      <c r="AA239" s="115" t="str">
        <f t="shared" si="6"/>
        <v/>
      </c>
      <c r="AB239" s="115">
        <f t="shared" si="7"/>
        <v>0</v>
      </c>
      <c r="AC239" s="115">
        <f t="shared" si="8"/>
        <v>0</v>
      </c>
      <c r="AD239" s="115">
        <f t="shared" si="9"/>
        <v>0</v>
      </c>
    </row>
    <row r="240">
      <c r="A240" s="101"/>
      <c r="B240" s="121"/>
      <c r="C240" s="122"/>
      <c r="D240" s="103" t="str">
        <f t="shared" si="1"/>
        <v/>
      </c>
      <c r="E240" s="103" t="str">
        <f t="shared" si="2"/>
        <v/>
      </c>
      <c r="F240" s="103" t="str">
        <f t="shared" si="3"/>
        <v/>
      </c>
      <c r="G240" s="122"/>
      <c r="H240" s="103">
        <f t="shared" si="4"/>
        <v>0</v>
      </c>
      <c r="I240" s="108">
        <f t="shared" si="5"/>
        <v>0</v>
      </c>
      <c r="J240" s="114"/>
      <c r="K240" s="83"/>
      <c r="L240" s="83"/>
      <c r="M240" s="83"/>
      <c r="N240" s="83"/>
      <c r="O240" s="83"/>
      <c r="P240" s="83"/>
      <c r="Q240" s="83"/>
      <c r="R240" s="83"/>
      <c r="S240" s="83"/>
      <c r="T240" s="83"/>
      <c r="U240" s="83"/>
      <c r="V240" s="83"/>
      <c r="W240" s="83"/>
      <c r="X240" s="83"/>
      <c r="Y240" s="83"/>
      <c r="Z240" s="114"/>
      <c r="AA240" s="115" t="str">
        <f t="shared" si="6"/>
        <v/>
      </c>
      <c r="AB240" s="115">
        <f t="shared" si="7"/>
        <v>0</v>
      </c>
      <c r="AC240" s="115">
        <f t="shared" si="8"/>
        <v>0</v>
      </c>
      <c r="AD240" s="115">
        <f t="shared" si="9"/>
        <v>0</v>
      </c>
    </row>
    <row r="241">
      <c r="A241" s="101"/>
      <c r="B241" s="121"/>
      <c r="C241" s="122"/>
      <c r="D241" s="103" t="str">
        <f t="shared" si="1"/>
        <v/>
      </c>
      <c r="E241" s="103" t="str">
        <f t="shared" si="2"/>
        <v/>
      </c>
      <c r="F241" s="103" t="str">
        <f t="shared" si="3"/>
        <v/>
      </c>
      <c r="G241" s="122"/>
      <c r="H241" s="103">
        <f t="shared" si="4"/>
        <v>0</v>
      </c>
      <c r="I241" s="108">
        <f t="shared" si="5"/>
        <v>0</v>
      </c>
      <c r="J241" s="114"/>
      <c r="K241" s="83"/>
      <c r="L241" s="83"/>
      <c r="M241" s="83"/>
      <c r="N241" s="83"/>
      <c r="O241" s="83"/>
      <c r="P241" s="83"/>
      <c r="Q241" s="83"/>
      <c r="R241" s="83"/>
      <c r="S241" s="83"/>
      <c r="T241" s="83"/>
      <c r="U241" s="83"/>
      <c r="V241" s="83"/>
      <c r="W241" s="83"/>
      <c r="X241" s="83"/>
      <c r="Y241" s="83"/>
      <c r="Z241" s="114"/>
      <c r="AA241" s="115" t="str">
        <f t="shared" si="6"/>
        <v/>
      </c>
      <c r="AB241" s="115">
        <f t="shared" si="7"/>
        <v>0</v>
      </c>
      <c r="AC241" s="115">
        <f t="shared" si="8"/>
        <v>0</v>
      </c>
      <c r="AD241" s="115">
        <f t="shared" si="9"/>
        <v>0</v>
      </c>
    </row>
    <row r="242">
      <c r="A242" s="101"/>
      <c r="B242" s="121"/>
      <c r="C242" s="122"/>
      <c r="D242" s="103" t="str">
        <f t="shared" si="1"/>
        <v/>
      </c>
      <c r="E242" s="103" t="str">
        <f t="shared" si="2"/>
        <v/>
      </c>
      <c r="F242" s="103" t="str">
        <f t="shared" si="3"/>
        <v/>
      </c>
      <c r="G242" s="122"/>
      <c r="H242" s="103">
        <f t="shared" si="4"/>
        <v>0</v>
      </c>
      <c r="I242" s="108">
        <f t="shared" si="5"/>
        <v>0</v>
      </c>
      <c r="J242" s="114"/>
      <c r="K242" s="83"/>
      <c r="L242" s="83"/>
      <c r="M242" s="83"/>
      <c r="N242" s="83"/>
      <c r="O242" s="83"/>
      <c r="P242" s="83"/>
      <c r="Q242" s="83"/>
      <c r="R242" s="83"/>
      <c r="S242" s="83"/>
      <c r="T242" s="83"/>
      <c r="U242" s="83"/>
      <c r="V242" s="83"/>
      <c r="W242" s="83"/>
      <c r="X242" s="83"/>
      <c r="Y242" s="83"/>
      <c r="Z242" s="114"/>
      <c r="AA242" s="115" t="str">
        <f t="shared" si="6"/>
        <v/>
      </c>
      <c r="AB242" s="115">
        <f t="shared" si="7"/>
        <v>0</v>
      </c>
      <c r="AC242" s="115">
        <f t="shared" si="8"/>
        <v>0</v>
      </c>
      <c r="AD242" s="115">
        <f t="shared" si="9"/>
        <v>0</v>
      </c>
    </row>
    <row r="243">
      <c r="A243" s="101"/>
      <c r="B243" s="121"/>
      <c r="C243" s="122"/>
      <c r="D243" s="103" t="str">
        <f t="shared" si="1"/>
        <v/>
      </c>
      <c r="E243" s="103" t="str">
        <f t="shared" si="2"/>
        <v/>
      </c>
      <c r="F243" s="103" t="str">
        <f t="shared" si="3"/>
        <v/>
      </c>
      <c r="G243" s="122"/>
      <c r="H243" s="103">
        <f t="shared" si="4"/>
        <v>0</v>
      </c>
      <c r="I243" s="108">
        <f t="shared" si="5"/>
        <v>0</v>
      </c>
      <c r="J243" s="114"/>
      <c r="K243" s="83"/>
      <c r="L243" s="83"/>
      <c r="M243" s="83"/>
      <c r="N243" s="83"/>
      <c r="O243" s="83"/>
      <c r="P243" s="83"/>
      <c r="Q243" s="83"/>
      <c r="R243" s="83"/>
      <c r="S243" s="83"/>
      <c r="T243" s="83"/>
      <c r="U243" s="83"/>
      <c r="V243" s="83"/>
      <c r="W243" s="83"/>
      <c r="X243" s="83"/>
      <c r="Y243" s="83"/>
      <c r="Z243" s="114"/>
      <c r="AA243" s="115" t="str">
        <f t="shared" si="6"/>
        <v/>
      </c>
      <c r="AB243" s="115">
        <f t="shared" si="7"/>
        <v>0</v>
      </c>
      <c r="AC243" s="115">
        <f t="shared" si="8"/>
        <v>0</v>
      </c>
      <c r="AD243" s="115">
        <f t="shared" si="9"/>
        <v>0</v>
      </c>
    </row>
    <row r="244">
      <c r="A244" s="101"/>
      <c r="B244" s="121"/>
      <c r="C244" s="122"/>
      <c r="D244" s="103" t="str">
        <f t="shared" si="1"/>
        <v/>
      </c>
      <c r="E244" s="103" t="str">
        <f t="shared" si="2"/>
        <v/>
      </c>
      <c r="F244" s="103" t="str">
        <f t="shared" si="3"/>
        <v/>
      </c>
      <c r="G244" s="122"/>
      <c r="H244" s="103">
        <f t="shared" si="4"/>
        <v>0</v>
      </c>
      <c r="I244" s="108">
        <f t="shared" si="5"/>
        <v>0</v>
      </c>
      <c r="J244" s="114"/>
      <c r="K244" s="83"/>
      <c r="L244" s="83"/>
      <c r="M244" s="83"/>
      <c r="N244" s="83"/>
      <c r="O244" s="83"/>
      <c r="P244" s="83"/>
      <c r="Q244" s="83"/>
      <c r="R244" s="83"/>
      <c r="S244" s="83"/>
      <c r="T244" s="83"/>
      <c r="U244" s="83"/>
      <c r="V244" s="83"/>
      <c r="W244" s="83"/>
      <c r="X244" s="83"/>
      <c r="Y244" s="83"/>
      <c r="Z244" s="114"/>
      <c r="AA244" s="115" t="str">
        <f t="shared" si="6"/>
        <v/>
      </c>
      <c r="AB244" s="115">
        <f t="shared" si="7"/>
        <v>0</v>
      </c>
      <c r="AC244" s="115">
        <f t="shared" si="8"/>
        <v>0</v>
      </c>
      <c r="AD244" s="115">
        <f t="shared" si="9"/>
        <v>0</v>
      </c>
    </row>
    <row r="245">
      <c r="A245" s="101"/>
      <c r="B245" s="121"/>
      <c r="C245" s="122"/>
      <c r="D245" s="103" t="str">
        <f t="shared" si="1"/>
        <v/>
      </c>
      <c r="E245" s="103" t="str">
        <f t="shared" si="2"/>
        <v/>
      </c>
      <c r="F245" s="103" t="str">
        <f t="shared" si="3"/>
        <v/>
      </c>
      <c r="G245" s="122"/>
      <c r="H245" s="103">
        <f t="shared" si="4"/>
        <v>0</v>
      </c>
      <c r="I245" s="108">
        <f t="shared" si="5"/>
        <v>0</v>
      </c>
      <c r="J245" s="114"/>
      <c r="K245" s="83"/>
      <c r="L245" s="83"/>
      <c r="M245" s="83"/>
      <c r="N245" s="83"/>
      <c r="O245" s="83"/>
      <c r="P245" s="83"/>
      <c r="Q245" s="83"/>
      <c r="R245" s="83"/>
      <c r="S245" s="83"/>
      <c r="T245" s="83"/>
      <c r="U245" s="83"/>
      <c r="V245" s="83"/>
      <c r="W245" s="83"/>
      <c r="X245" s="83"/>
      <c r="Y245" s="83"/>
      <c r="Z245" s="114"/>
      <c r="AA245" s="115" t="str">
        <f t="shared" si="6"/>
        <v/>
      </c>
      <c r="AB245" s="115">
        <f t="shared" si="7"/>
        <v>0</v>
      </c>
      <c r="AC245" s="115">
        <f t="shared" si="8"/>
        <v>0</v>
      </c>
      <c r="AD245" s="115">
        <f t="shared" si="9"/>
        <v>0</v>
      </c>
    </row>
    <row r="246">
      <c r="A246" s="101"/>
      <c r="B246" s="121"/>
      <c r="C246" s="122"/>
      <c r="D246" s="103" t="str">
        <f t="shared" si="1"/>
        <v/>
      </c>
      <c r="E246" s="103" t="str">
        <f t="shared" si="2"/>
        <v/>
      </c>
      <c r="F246" s="103" t="str">
        <f t="shared" si="3"/>
        <v/>
      </c>
      <c r="G246" s="122"/>
      <c r="H246" s="103">
        <f t="shared" si="4"/>
        <v>0</v>
      </c>
      <c r="I246" s="108">
        <f t="shared" si="5"/>
        <v>0</v>
      </c>
      <c r="J246" s="114"/>
      <c r="K246" s="83"/>
      <c r="L246" s="83"/>
      <c r="M246" s="83"/>
      <c r="N246" s="83"/>
      <c r="O246" s="83"/>
      <c r="P246" s="83"/>
      <c r="Q246" s="83"/>
      <c r="R246" s="83"/>
      <c r="S246" s="83"/>
      <c r="T246" s="83"/>
      <c r="U246" s="83"/>
      <c r="V246" s="83"/>
      <c r="W246" s="83"/>
      <c r="X246" s="83"/>
      <c r="Y246" s="83"/>
      <c r="Z246" s="114"/>
      <c r="AA246" s="115" t="str">
        <f t="shared" si="6"/>
        <v/>
      </c>
      <c r="AB246" s="115">
        <f t="shared" si="7"/>
        <v>0</v>
      </c>
      <c r="AC246" s="115">
        <f t="shared" si="8"/>
        <v>0</v>
      </c>
      <c r="AD246" s="115">
        <f t="shared" si="9"/>
        <v>0</v>
      </c>
    </row>
    <row r="247">
      <c r="A247" s="101"/>
      <c r="B247" s="121"/>
      <c r="C247" s="122"/>
      <c r="D247" s="103" t="str">
        <f t="shared" si="1"/>
        <v/>
      </c>
      <c r="E247" s="103" t="str">
        <f t="shared" si="2"/>
        <v/>
      </c>
      <c r="F247" s="103" t="str">
        <f t="shared" si="3"/>
        <v/>
      </c>
      <c r="G247" s="122"/>
      <c r="H247" s="103">
        <f t="shared" si="4"/>
        <v>0</v>
      </c>
      <c r="I247" s="108">
        <f t="shared" si="5"/>
        <v>0</v>
      </c>
      <c r="J247" s="114"/>
      <c r="K247" s="83"/>
      <c r="L247" s="83"/>
      <c r="M247" s="83"/>
      <c r="N247" s="83"/>
      <c r="O247" s="83"/>
      <c r="P247" s="83"/>
      <c r="Q247" s="83"/>
      <c r="R247" s="83"/>
      <c r="S247" s="83"/>
      <c r="T247" s="83"/>
      <c r="U247" s="83"/>
      <c r="V247" s="83"/>
      <c r="W247" s="83"/>
      <c r="X247" s="83"/>
      <c r="Y247" s="83"/>
      <c r="Z247" s="114"/>
      <c r="AA247" s="115" t="str">
        <f t="shared" si="6"/>
        <v/>
      </c>
      <c r="AB247" s="115">
        <f t="shared" si="7"/>
        <v>0</v>
      </c>
      <c r="AC247" s="115">
        <f t="shared" si="8"/>
        <v>0</v>
      </c>
      <c r="AD247" s="115">
        <f t="shared" si="9"/>
        <v>0</v>
      </c>
    </row>
    <row r="248">
      <c r="A248" s="101"/>
      <c r="B248" s="121"/>
      <c r="C248" s="122"/>
      <c r="D248" s="103" t="str">
        <f t="shared" si="1"/>
        <v/>
      </c>
      <c r="E248" s="103" t="str">
        <f t="shared" si="2"/>
        <v/>
      </c>
      <c r="F248" s="103" t="str">
        <f t="shared" si="3"/>
        <v/>
      </c>
      <c r="G248" s="122"/>
      <c r="H248" s="103">
        <f t="shared" si="4"/>
        <v>0</v>
      </c>
      <c r="I248" s="108">
        <f t="shared" si="5"/>
        <v>0</v>
      </c>
      <c r="J248" s="114"/>
      <c r="K248" s="83"/>
      <c r="L248" s="83"/>
      <c r="M248" s="83"/>
      <c r="N248" s="83"/>
      <c r="O248" s="83"/>
      <c r="P248" s="83"/>
      <c r="Q248" s="83"/>
      <c r="R248" s="83"/>
      <c r="S248" s="83"/>
      <c r="T248" s="83"/>
      <c r="U248" s="83"/>
      <c r="V248" s="83"/>
      <c r="W248" s="83"/>
      <c r="X248" s="83"/>
      <c r="Y248" s="83"/>
      <c r="Z248" s="114"/>
      <c r="AA248" s="115" t="str">
        <f t="shared" si="6"/>
        <v/>
      </c>
      <c r="AB248" s="115">
        <f t="shared" si="7"/>
        <v>0</v>
      </c>
      <c r="AC248" s="115">
        <f t="shared" si="8"/>
        <v>0</v>
      </c>
      <c r="AD248" s="115">
        <f t="shared" si="9"/>
        <v>0</v>
      </c>
    </row>
    <row r="249">
      <c r="A249" s="101"/>
      <c r="B249" s="121"/>
      <c r="C249" s="122"/>
      <c r="D249" s="103" t="str">
        <f t="shared" si="1"/>
        <v/>
      </c>
      <c r="E249" s="103" t="str">
        <f t="shared" si="2"/>
        <v/>
      </c>
      <c r="F249" s="103" t="str">
        <f t="shared" si="3"/>
        <v/>
      </c>
      <c r="G249" s="122"/>
      <c r="H249" s="103">
        <f t="shared" si="4"/>
        <v>0</v>
      </c>
      <c r="I249" s="108">
        <f t="shared" si="5"/>
        <v>0</v>
      </c>
      <c r="J249" s="114"/>
      <c r="K249" s="83"/>
      <c r="L249" s="83"/>
      <c r="M249" s="83"/>
      <c r="N249" s="83"/>
      <c r="O249" s="83"/>
      <c r="P249" s="83"/>
      <c r="Q249" s="83"/>
      <c r="R249" s="83"/>
      <c r="S249" s="83"/>
      <c r="T249" s="83"/>
      <c r="U249" s="83"/>
      <c r="V249" s="83"/>
      <c r="W249" s="83"/>
      <c r="X249" s="83"/>
      <c r="Y249" s="83"/>
      <c r="Z249" s="114"/>
      <c r="AA249" s="115" t="str">
        <f t="shared" si="6"/>
        <v/>
      </c>
      <c r="AB249" s="115">
        <f t="shared" si="7"/>
        <v>0</v>
      </c>
      <c r="AC249" s="115">
        <f t="shared" si="8"/>
        <v>0</v>
      </c>
      <c r="AD249" s="115">
        <f t="shared" si="9"/>
        <v>0</v>
      </c>
    </row>
    <row r="250">
      <c r="A250" s="101"/>
      <c r="B250" s="121"/>
      <c r="C250" s="122"/>
      <c r="D250" s="103" t="str">
        <f t="shared" si="1"/>
        <v/>
      </c>
      <c r="E250" s="103" t="str">
        <f t="shared" si="2"/>
        <v/>
      </c>
      <c r="F250" s="103" t="str">
        <f t="shared" si="3"/>
        <v/>
      </c>
      <c r="G250" s="122"/>
      <c r="H250" s="103">
        <f t="shared" si="4"/>
        <v>0</v>
      </c>
      <c r="I250" s="108">
        <f t="shared" si="5"/>
        <v>0</v>
      </c>
      <c r="J250" s="114"/>
      <c r="K250" s="83"/>
      <c r="L250" s="83"/>
      <c r="M250" s="83"/>
      <c r="N250" s="83"/>
      <c r="O250" s="83"/>
      <c r="P250" s="83"/>
      <c r="Q250" s="83"/>
      <c r="R250" s="83"/>
      <c r="S250" s="83"/>
      <c r="T250" s="83"/>
      <c r="U250" s="83"/>
      <c r="V250" s="83"/>
      <c r="W250" s="83"/>
      <c r="X250" s="83"/>
      <c r="Y250" s="83"/>
      <c r="Z250" s="114"/>
      <c r="AA250" s="115" t="str">
        <f t="shared" si="6"/>
        <v/>
      </c>
      <c r="AB250" s="115">
        <f t="shared" si="7"/>
        <v>0</v>
      </c>
      <c r="AC250" s="115">
        <f t="shared" si="8"/>
        <v>0</v>
      </c>
      <c r="AD250" s="115">
        <f t="shared" si="9"/>
        <v>0</v>
      </c>
    </row>
    <row r="251">
      <c r="A251" s="101"/>
      <c r="B251" s="121"/>
      <c r="C251" s="122"/>
      <c r="D251" s="103" t="str">
        <f t="shared" si="1"/>
        <v/>
      </c>
      <c r="E251" s="103" t="str">
        <f t="shared" si="2"/>
        <v/>
      </c>
      <c r="F251" s="103" t="str">
        <f t="shared" si="3"/>
        <v/>
      </c>
      <c r="G251" s="122"/>
      <c r="H251" s="103">
        <f t="shared" si="4"/>
        <v>0</v>
      </c>
      <c r="I251" s="108">
        <f t="shared" si="5"/>
        <v>0</v>
      </c>
      <c r="J251" s="114"/>
      <c r="K251" s="83"/>
      <c r="L251" s="83"/>
      <c r="M251" s="83"/>
      <c r="N251" s="83"/>
      <c r="O251" s="83"/>
      <c r="P251" s="83"/>
      <c r="Q251" s="83"/>
      <c r="R251" s="83"/>
      <c r="S251" s="83"/>
      <c r="T251" s="83"/>
      <c r="U251" s="83"/>
      <c r="V251" s="83"/>
      <c r="W251" s="83"/>
      <c r="X251" s="83"/>
      <c r="Y251" s="83"/>
      <c r="Z251" s="114"/>
      <c r="AA251" s="115" t="str">
        <f t="shared" si="6"/>
        <v/>
      </c>
      <c r="AB251" s="115">
        <f t="shared" si="7"/>
        <v>0</v>
      </c>
      <c r="AC251" s="115">
        <f t="shared" si="8"/>
        <v>0</v>
      </c>
      <c r="AD251" s="115">
        <f t="shared" si="9"/>
        <v>0</v>
      </c>
    </row>
    <row r="252">
      <c r="A252" s="101"/>
      <c r="B252" s="121"/>
      <c r="C252" s="122"/>
      <c r="D252" s="103" t="str">
        <f t="shared" si="1"/>
        <v/>
      </c>
      <c r="E252" s="103" t="str">
        <f t="shared" si="2"/>
        <v/>
      </c>
      <c r="F252" s="103" t="str">
        <f t="shared" si="3"/>
        <v/>
      </c>
      <c r="G252" s="122"/>
      <c r="H252" s="103">
        <f t="shared" si="4"/>
        <v>0</v>
      </c>
      <c r="I252" s="108">
        <f t="shared" si="5"/>
        <v>0</v>
      </c>
      <c r="J252" s="114"/>
      <c r="K252" s="83"/>
      <c r="L252" s="83"/>
      <c r="M252" s="83"/>
      <c r="N252" s="83"/>
      <c r="O252" s="83"/>
      <c r="P252" s="83"/>
      <c r="Q252" s="83"/>
      <c r="R252" s="83"/>
      <c r="S252" s="83"/>
      <c r="T252" s="83"/>
      <c r="U252" s="83"/>
      <c r="V252" s="83"/>
      <c r="W252" s="83"/>
      <c r="X252" s="83"/>
      <c r="Y252" s="83"/>
      <c r="Z252" s="114"/>
      <c r="AA252" s="115" t="str">
        <f t="shared" si="6"/>
        <v/>
      </c>
      <c r="AB252" s="115">
        <f t="shared" si="7"/>
        <v>0</v>
      </c>
      <c r="AC252" s="115">
        <f t="shared" si="8"/>
        <v>0</v>
      </c>
      <c r="AD252" s="115">
        <f t="shared" si="9"/>
        <v>0</v>
      </c>
    </row>
    <row r="253">
      <c r="A253" s="101"/>
      <c r="B253" s="121"/>
      <c r="C253" s="122"/>
      <c r="D253" s="103" t="str">
        <f t="shared" si="1"/>
        <v/>
      </c>
      <c r="E253" s="103" t="str">
        <f t="shared" si="2"/>
        <v/>
      </c>
      <c r="F253" s="103" t="str">
        <f t="shared" si="3"/>
        <v/>
      </c>
      <c r="G253" s="122"/>
      <c r="H253" s="103">
        <f t="shared" si="4"/>
        <v>0</v>
      </c>
      <c r="I253" s="108">
        <f t="shared" si="5"/>
        <v>0</v>
      </c>
      <c r="J253" s="114"/>
      <c r="K253" s="83"/>
      <c r="L253" s="83"/>
      <c r="M253" s="83"/>
      <c r="N253" s="83"/>
      <c r="O253" s="83"/>
      <c r="P253" s="83"/>
      <c r="Q253" s="83"/>
      <c r="R253" s="83"/>
      <c r="S253" s="83"/>
      <c r="T253" s="83"/>
      <c r="U253" s="83"/>
      <c r="V253" s="83"/>
      <c r="W253" s="83"/>
      <c r="X253" s="83"/>
      <c r="Y253" s="83"/>
      <c r="Z253" s="114"/>
      <c r="AA253" s="115" t="str">
        <f t="shared" si="6"/>
        <v/>
      </c>
      <c r="AB253" s="115">
        <f t="shared" si="7"/>
        <v>0</v>
      </c>
      <c r="AC253" s="115">
        <f t="shared" si="8"/>
        <v>0</v>
      </c>
      <c r="AD253" s="115">
        <f t="shared" si="9"/>
        <v>0</v>
      </c>
    </row>
    <row r="254">
      <c r="A254" s="101"/>
      <c r="B254" s="121"/>
      <c r="C254" s="122"/>
      <c r="D254" s="103" t="str">
        <f t="shared" si="1"/>
        <v/>
      </c>
      <c r="E254" s="103" t="str">
        <f t="shared" si="2"/>
        <v/>
      </c>
      <c r="F254" s="103" t="str">
        <f t="shared" si="3"/>
        <v/>
      </c>
      <c r="G254" s="122"/>
      <c r="H254" s="103">
        <f t="shared" si="4"/>
        <v>0</v>
      </c>
      <c r="I254" s="108">
        <f t="shared" si="5"/>
        <v>0</v>
      </c>
      <c r="J254" s="114"/>
      <c r="K254" s="83"/>
      <c r="L254" s="83"/>
      <c r="M254" s="83"/>
      <c r="N254" s="83"/>
      <c r="O254" s="83"/>
      <c r="P254" s="83"/>
      <c r="Q254" s="83"/>
      <c r="R254" s="83"/>
      <c r="S254" s="83"/>
      <c r="T254" s="83"/>
      <c r="U254" s="83"/>
      <c r="V254" s="83"/>
      <c r="W254" s="83"/>
      <c r="X254" s="83"/>
      <c r="Y254" s="83"/>
      <c r="Z254" s="114"/>
      <c r="AA254" s="115" t="str">
        <f t="shared" si="6"/>
        <v/>
      </c>
      <c r="AB254" s="115">
        <f t="shared" si="7"/>
        <v>0</v>
      </c>
      <c r="AC254" s="115">
        <f t="shared" si="8"/>
        <v>0</v>
      </c>
      <c r="AD254" s="115">
        <f t="shared" si="9"/>
        <v>0</v>
      </c>
    </row>
    <row r="255">
      <c r="A255" s="101"/>
      <c r="B255" s="121"/>
      <c r="C255" s="122"/>
      <c r="D255" s="103" t="str">
        <f t="shared" si="1"/>
        <v/>
      </c>
      <c r="E255" s="103" t="str">
        <f t="shared" si="2"/>
        <v/>
      </c>
      <c r="F255" s="103" t="str">
        <f t="shared" si="3"/>
        <v/>
      </c>
      <c r="G255" s="122"/>
      <c r="H255" s="103">
        <f t="shared" si="4"/>
        <v>0</v>
      </c>
      <c r="I255" s="108">
        <f t="shared" si="5"/>
        <v>0</v>
      </c>
      <c r="J255" s="114"/>
      <c r="K255" s="83"/>
      <c r="L255" s="83"/>
      <c r="M255" s="83"/>
      <c r="N255" s="83"/>
      <c r="O255" s="83"/>
      <c r="P255" s="83"/>
      <c r="Q255" s="83"/>
      <c r="R255" s="83"/>
      <c r="S255" s="83"/>
      <c r="T255" s="83"/>
      <c r="U255" s="83"/>
      <c r="V255" s="83"/>
      <c r="W255" s="83"/>
      <c r="X255" s="83"/>
      <c r="Y255" s="83"/>
      <c r="Z255" s="114"/>
      <c r="AA255" s="115" t="str">
        <f t="shared" si="6"/>
        <v/>
      </c>
      <c r="AB255" s="115">
        <f t="shared" si="7"/>
        <v>0</v>
      </c>
      <c r="AC255" s="115">
        <f t="shared" si="8"/>
        <v>0</v>
      </c>
      <c r="AD255" s="115">
        <f t="shared" si="9"/>
        <v>0</v>
      </c>
    </row>
    <row r="256">
      <c r="A256" s="101"/>
      <c r="B256" s="121"/>
      <c r="C256" s="122"/>
      <c r="D256" s="103" t="str">
        <f t="shared" si="1"/>
        <v/>
      </c>
      <c r="E256" s="103" t="str">
        <f t="shared" si="2"/>
        <v/>
      </c>
      <c r="F256" s="103" t="str">
        <f t="shared" si="3"/>
        <v/>
      </c>
      <c r="G256" s="122"/>
      <c r="H256" s="103">
        <f t="shared" si="4"/>
        <v>0</v>
      </c>
      <c r="I256" s="108">
        <f t="shared" si="5"/>
        <v>0</v>
      </c>
      <c r="J256" s="114"/>
      <c r="K256" s="83"/>
      <c r="L256" s="83"/>
      <c r="M256" s="83"/>
      <c r="N256" s="83"/>
      <c r="O256" s="83"/>
      <c r="P256" s="83"/>
      <c r="Q256" s="83"/>
      <c r="R256" s="83"/>
      <c r="S256" s="83"/>
      <c r="T256" s="83"/>
      <c r="U256" s="83"/>
      <c r="V256" s="83"/>
      <c r="W256" s="83"/>
      <c r="X256" s="83"/>
      <c r="Y256" s="83"/>
      <c r="Z256" s="114"/>
      <c r="AA256" s="115" t="str">
        <f t="shared" si="6"/>
        <v/>
      </c>
      <c r="AB256" s="115">
        <f t="shared" si="7"/>
        <v>0</v>
      </c>
      <c r="AC256" s="115">
        <f t="shared" si="8"/>
        <v>0</v>
      </c>
      <c r="AD256" s="115">
        <f t="shared" si="9"/>
        <v>0</v>
      </c>
    </row>
    <row r="257">
      <c r="A257" s="101"/>
      <c r="B257" s="121"/>
      <c r="C257" s="122"/>
      <c r="D257" s="103" t="str">
        <f t="shared" si="1"/>
        <v/>
      </c>
      <c r="E257" s="103" t="str">
        <f t="shared" si="2"/>
        <v/>
      </c>
      <c r="F257" s="103" t="str">
        <f t="shared" si="3"/>
        <v/>
      </c>
      <c r="G257" s="122"/>
      <c r="H257" s="103">
        <f t="shared" si="4"/>
        <v>0</v>
      </c>
      <c r="I257" s="108">
        <f t="shared" si="5"/>
        <v>0</v>
      </c>
      <c r="J257" s="114"/>
      <c r="K257" s="83"/>
      <c r="L257" s="83"/>
      <c r="M257" s="83"/>
      <c r="N257" s="83"/>
      <c r="O257" s="83"/>
      <c r="P257" s="83"/>
      <c r="Q257" s="83"/>
      <c r="R257" s="83"/>
      <c r="S257" s="83"/>
      <c r="T257" s="83"/>
      <c r="U257" s="83"/>
      <c r="V257" s="83"/>
      <c r="W257" s="83"/>
      <c r="X257" s="83"/>
      <c r="Y257" s="83"/>
      <c r="Z257" s="114"/>
      <c r="AA257" s="115" t="str">
        <f t="shared" si="6"/>
        <v/>
      </c>
      <c r="AB257" s="115">
        <f t="shared" si="7"/>
        <v>0</v>
      </c>
      <c r="AC257" s="115">
        <f t="shared" si="8"/>
        <v>0</v>
      </c>
      <c r="AD257" s="115">
        <f t="shared" si="9"/>
        <v>0</v>
      </c>
    </row>
    <row r="258">
      <c r="A258" s="101"/>
      <c r="B258" s="121"/>
      <c r="C258" s="122"/>
      <c r="D258" s="103" t="str">
        <f t="shared" si="1"/>
        <v/>
      </c>
      <c r="E258" s="103" t="str">
        <f t="shared" si="2"/>
        <v/>
      </c>
      <c r="F258" s="103" t="str">
        <f t="shared" si="3"/>
        <v/>
      </c>
      <c r="G258" s="122"/>
      <c r="H258" s="103">
        <f t="shared" si="4"/>
        <v>0</v>
      </c>
      <c r="I258" s="108">
        <f t="shared" si="5"/>
        <v>0</v>
      </c>
      <c r="J258" s="114"/>
      <c r="K258" s="83"/>
      <c r="L258" s="83"/>
      <c r="M258" s="83"/>
      <c r="N258" s="83"/>
      <c r="O258" s="83"/>
      <c r="P258" s="83"/>
      <c r="Q258" s="83"/>
      <c r="R258" s="83"/>
      <c r="S258" s="83"/>
      <c r="T258" s="83"/>
      <c r="U258" s="83"/>
      <c r="V258" s="83"/>
      <c r="W258" s="83"/>
      <c r="X258" s="83"/>
      <c r="Y258" s="83"/>
      <c r="Z258" s="114"/>
      <c r="AA258" s="115" t="str">
        <f t="shared" si="6"/>
        <v/>
      </c>
      <c r="AB258" s="115">
        <f t="shared" si="7"/>
        <v>0</v>
      </c>
      <c r="AC258" s="115">
        <f t="shared" si="8"/>
        <v>0</v>
      </c>
      <c r="AD258" s="115">
        <f t="shared" si="9"/>
        <v>0</v>
      </c>
    </row>
    <row r="259">
      <c r="A259" s="101"/>
      <c r="B259" s="121"/>
      <c r="C259" s="122"/>
      <c r="D259" s="103" t="str">
        <f t="shared" si="1"/>
        <v/>
      </c>
      <c r="E259" s="103" t="str">
        <f t="shared" si="2"/>
        <v/>
      </c>
      <c r="F259" s="103" t="str">
        <f t="shared" si="3"/>
        <v/>
      </c>
      <c r="G259" s="122"/>
      <c r="H259" s="103">
        <f t="shared" si="4"/>
        <v>0</v>
      </c>
      <c r="I259" s="108">
        <f t="shared" si="5"/>
        <v>0</v>
      </c>
      <c r="J259" s="114"/>
      <c r="K259" s="83"/>
      <c r="L259" s="83"/>
      <c r="M259" s="83"/>
      <c r="N259" s="83"/>
      <c r="O259" s="83"/>
      <c r="P259" s="83"/>
      <c r="Q259" s="83"/>
      <c r="R259" s="83"/>
      <c r="S259" s="83"/>
      <c r="T259" s="83"/>
      <c r="U259" s="83"/>
      <c r="V259" s="83"/>
      <c r="W259" s="83"/>
      <c r="X259" s="83"/>
      <c r="Y259" s="83"/>
      <c r="Z259" s="114"/>
      <c r="AA259" s="115" t="str">
        <f t="shared" si="6"/>
        <v/>
      </c>
      <c r="AB259" s="115">
        <f t="shared" si="7"/>
        <v>0</v>
      </c>
      <c r="AC259" s="115">
        <f t="shared" si="8"/>
        <v>0</v>
      </c>
      <c r="AD259" s="115">
        <f t="shared" si="9"/>
        <v>0</v>
      </c>
    </row>
    <row r="260">
      <c r="A260" s="101"/>
      <c r="B260" s="121"/>
      <c r="C260" s="122"/>
      <c r="D260" s="103" t="str">
        <f t="shared" si="1"/>
        <v/>
      </c>
      <c r="E260" s="103" t="str">
        <f t="shared" si="2"/>
        <v/>
      </c>
      <c r="F260" s="103" t="str">
        <f t="shared" si="3"/>
        <v/>
      </c>
      <c r="G260" s="122"/>
      <c r="H260" s="103">
        <f t="shared" si="4"/>
        <v>0</v>
      </c>
      <c r="I260" s="108">
        <f t="shared" si="5"/>
        <v>0</v>
      </c>
      <c r="J260" s="114"/>
      <c r="K260" s="83"/>
      <c r="L260" s="83"/>
      <c r="M260" s="83"/>
      <c r="N260" s="83"/>
      <c r="O260" s="83"/>
      <c r="P260" s="83"/>
      <c r="Q260" s="83"/>
      <c r="R260" s="83"/>
      <c r="S260" s="83"/>
      <c r="T260" s="83"/>
      <c r="U260" s="83"/>
      <c r="V260" s="83"/>
      <c r="W260" s="83"/>
      <c r="X260" s="83"/>
      <c r="Y260" s="83"/>
      <c r="Z260" s="114"/>
      <c r="AA260" s="115" t="str">
        <f t="shared" si="6"/>
        <v/>
      </c>
      <c r="AB260" s="115">
        <f t="shared" si="7"/>
        <v>0</v>
      </c>
      <c r="AC260" s="115">
        <f t="shared" si="8"/>
        <v>0</v>
      </c>
      <c r="AD260" s="115">
        <f t="shared" si="9"/>
        <v>0</v>
      </c>
    </row>
    <row r="261">
      <c r="A261" s="101"/>
      <c r="B261" s="121"/>
      <c r="C261" s="122"/>
      <c r="D261" s="103" t="str">
        <f t="shared" si="1"/>
        <v/>
      </c>
      <c r="E261" s="103" t="str">
        <f t="shared" si="2"/>
        <v/>
      </c>
      <c r="F261" s="103" t="str">
        <f t="shared" si="3"/>
        <v/>
      </c>
      <c r="G261" s="122"/>
      <c r="H261" s="103">
        <f t="shared" si="4"/>
        <v>0</v>
      </c>
      <c r="I261" s="108">
        <f t="shared" si="5"/>
        <v>0</v>
      </c>
      <c r="J261" s="114"/>
      <c r="K261" s="83"/>
      <c r="L261" s="83"/>
      <c r="M261" s="83"/>
      <c r="N261" s="83"/>
      <c r="O261" s="83"/>
      <c r="P261" s="83"/>
      <c r="Q261" s="83"/>
      <c r="R261" s="83"/>
      <c r="S261" s="83"/>
      <c r="T261" s="83"/>
      <c r="U261" s="83"/>
      <c r="V261" s="83"/>
      <c r="W261" s="83"/>
      <c r="X261" s="83"/>
      <c r="Y261" s="83"/>
      <c r="Z261" s="114"/>
      <c r="AA261" s="115" t="str">
        <f t="shared" si="6"/>
        <v/>
      </c>
      <c r="AB261" s="115">
        <f t="shared" si="7"/>
        <v>0</v>
      </c>
      <c r="AC261" s="115">
        <f t="shared" si="8"/>
        <v>0</v>
      </c>
      <c r="AD261" s="115">
        <f t="shared" si="9"/>
        <v>0</v>
      </c>
    </row>
    <row r="262">
      <c r="A262" s="101"/>
      <c r="B262" s="121"/>
      <c r="C262" s="122"/>
      <c r="D262" s="103" t="str">
        <f t="shared" si="1"/>
        <v/>
      </c>
      <c r="E262" s="103" t="str">
        <f t="shared" si="2"/>
        <v/>
      </c>
      <c r="F262" s="103" t="str">
        <f t="shared" si="3"/>
        <v/>
      </c>
      <c r="G262" s="122"/>
      <c r="H262" s="103">
        <f t="shared" si="4"/>
        <v>0</v>
      </c>
      <c r="I262" s="108">
        <f t="shared" si="5"/>
        <v>0</v>
      </c>
      <c r="J262" s="114"/>
      <c r="K262" s="83"/>
      <c r="L262" s="83"/>
      <c r="M262" s="83"/>
      <c r="N262" s="83"/>
      <c r="O262" s="83"/>
      <c r="P262" s="83"/>
      <c r="Q262" s="83"/>
      <c r="R262" s="83"/>
      <c r="S262" s="83"/>
      <c r="T262" s="83"/>
      <c r="U262" s="83"/>
      <c r="V262" s="83"/>
      <c r="W262" s="83"/>
      <c r="X262" s="83"/>
      <c r="Y262" s="83"/>
      <c r="Z262" s="114"/>
      <c r="AA262" s="115" t="str">
        <f t="shared" si="6"/>
        <v/>
      </c>
      <c r="AB262" s="115">
        <f t="shared" si="7"/>
        <v>0</v>
      </c>
      <c r="AC262" s="115">
        <f t="shared" si="8"/>
        <v>0</v>
      </c>
      <c r="AD262" s="115">
        <f t="shared" si="9"/>
        <v>0</v>
      </c>
    </row>
    <row r="263">
      <c r="A263" s="101"/>
      <c r="B263" s="121"/>
      <c r="C263" s="122"/>
      <c r="D263" s="103" t="str">
        <f t="shared" si="1"/>
        <v/>
      </c>
      <c r="E263" s="103" t="str">
        <f t="shared" si="2"/>
        <v/>
      </c>
      <c r="F263" s="103" t="str">
        <f t="shared" si="3"/>
        <v/>
      </c>
      <c r="G263" s="122"/>
      <c r="H263" s="103">
        <f t="shared" si="4"/>
        <v>0</v>
      </c>
      <c r="I263" s="108">
        <f t="shared" si="5"/>
        <v>0</v>
      </c>
      <c r="J263" s="114"/>
      <c r="K263" s="83"/>
      <c r="L263" s="83"/>
      <c r="M263" s="83"/>
      <c r="N263" s="83"/>
      <c r="O263" s="83"/>
      <c r="P263" s="83"/>
      <c r="Q263" s="83"/>
      <c r="R263" s="83"/>
      <c r="S263" s="83"/>
      <c r="T263" s="83"/>
      <c r="U263" s="83"/>
      <c r="V263" s="83"/>
      <c r="W263" s="83"/>
      <c r="X263" s="83"/>
      <c r="Y263" s="83"/>
      <c r="Z263" s="114"/>
      <c r="AA263" s="115" t="str">
        <f t="shared" si="6"/>
        <v/>
      </c>
      <c r="AB263" s="115">
        <f t="shared" si="7"/>
        <v>0</v>
      </c>
      <c r="AC263" s="115">
        <f t="shared" si="8"/>
        <v>0</v>
      </c>
      <c r="AD263" s="115">
        <f t="shared" si="9"/>
        <v>0</v>
      </c>
    </row>
    <row r="264">
      <c r="A264" s="101"/>
      <c r="B264" s="121"/>
      <c r="C264" s="122"/>
      <c r="D264" s="103" t="str">
        <f t="shared" si="1"/>
        <v/>
      </c>
      <c r="E264" s="103" t="str">
        <f t="shared" si="2"/>
        <v/>
      </c>
      <c r="F264" s="103" t="str">
        <f t="shared" si="3"/>
        <v/>
      </c>
      <c r="G264" s="122"/>
      <c r="H264" s="103">
        <f t="shared" si="4"/>
        <v>0</v>
      </c>
      <c r="I264" s="108">
        <f t="shared" si="5"/>
        <v>0</v>
      </c>
      <c r="J264" s="114"/>
      <c r="K264" s="83"/>
      <c r="L264" s="83"/>
      <c r="M264" s="83"/>
      <c r="N264" s="83"/>
      <c r="O264" s="83"/>
      <c r="P264" s="83"/>
      <c r="Q264" s="83"/>
      <c r="R264" s="83"/>
      <c r="S264" s="83"/>
      <c r="T264" s="83"/>
      <c r="U264" s="83"/>
      <c r="V264" s="83"/>
      <c r="W264" s="83"/>
      <c r="X264" s="83"/>
      <c r="Y264" s="83"/>
      <c r="Z264" s="114"/>
      <c r="AA264" s="115" t="str">
        <f t="shared" si="6"/>
        <v/>
      </c>
      <c r="AB264" s="115">
        <f t="shared" si="7"/>
        <v>0</v>
      </c>
      <c r="AC264" s="115">
        <f t="shared" si="8"/>
        <v>0</v>
      </c>
      <c r="AD264" s="115">
        <f t="shared" si="9"/>
        <v>0</v>
      </c>
    </row>
    <row r="265">
      <c r="A265" s="101"/>
      <c r="B265" s="121"/>
      <c r="C265" s="122"/>
      <c r="D265" s="103" t="str">
        <f t="shared" si="1"/>
        <v/>
      </c>
      <c r="E265" s="103" t="str">
        <f t="shared" si="2"/>
        <v/>
      </c>
      <c r="F265" s="103" t="str">
        <f t="shared" si="3"/>
        <v/>
      </c>
      <c r="G265" s="122"/>
      <c r="H265" s="103">
        <f t="shared" si="4"/>
        <v>0</v>
      </c>
      <c r="I265" s="108">
        <f t="shared" si="5"/>
        <v>0</v>
      </c>
      <c r="J265" s="114"/>
      <c r="K265" s="83"/>
      <c r="L265" s="83"/>
      <c r="M265" s="83"/>
      <c r="N265" s="83"/>
      <c r="O265" s="83"/>
      <c r="P265" s="83"/>
      <c r="Q265" s="83"/>
      <c r="R265" s="83"/>
      <c r="S265" s="83"/>
      <c r="T265" s="83"/>
      <c r="U265" s="83"/>
      <c r="V265" s="83"/>
      <c r="W265" s="83"/>
      <c r="X265" s="83"/>
      <c r="Y265" s="83"/>
      <c r="Z265" s="114"/>
      <c r="AA265" s="115" t="str">
        <f t="shared" si="6"/>
        <v/>
      </c>
      <c r="AB265" s="115">
        <f t="shared" si="7"/>
        <v>0</v>
      </c>
      <c r="AC265" s="115">
        <f t="shared" si="8"/>
        <v>0</v>
      </c>
      <c r="AD265" s="115">
        <f t="shared" si="9"/>
        <v>0</v>
      </c>
    </row>
    <row r="266">
      <c r="A266" s="101"/>
      <c r="B266" s="121"/>
      <c r="C266" s="122"/>
      <c r="D266" s="103" t="str">
        <f t="shared" si="1"/>
        <v/>
      </c>
      <c r="E266" s="103" t="str">
        <f t="shared" si="2"/>
        <v/>
      </c>
      <c r="F266" s="103" t="str">
        <f t="shared" si="3"/>
        <v/>
      </c>
      <c r="G266" s="122"/>
      <c r="H266" s="103">
        <f t="shared" si="4"/>
        <v>0</v>
      </c>
      <c r="I266" s="108">
        <f t="shared" si="5"/>
        <v>0</v>
      </c>
      <c r="J266" s="114"/>
      <c r="K266" s="83"/>
      <c r="L266" s="83"/>
      <c r="M266" s="83"/>
      <c r="N266" s="83"/>
      <c r="O266" s="83"/>
      <c r="P266" s="83"/>
      <c r="Q266" s="83"/>
      <c r="R266" s="83"/>
      <c r="S266" s="83"/>
      <c r="T266" s="83"/>
      <c r="U266" s="83"/>
      <c r="V266" s="83"/>
      <c r="W266" s="83"/>
      <c r="X266" s="83"/>
      <c r="Y266" s="83"/>
      <c r="Z266" s="114"/>
      <c r="AA266" s="115" t="str">
        <f t="shared" si="6"/>
        <v/>
      </c>
      <c r="AB266" s="115">
        <f t="shared" si="7"/>
        <v>0</v>
      </c>
      <c r="AC266" s="115">
        <f t="shared" si="8"/>
        <v>0</v>
      </c>
      <c r="AD266" s="115">
        <f t="shared" si="9"/>
        <v>0</v>
      </c>
    </row>
    <row r="267">
      <c r="A267" s="101"/>
      <c r="B267" s="121"/>
      <c r="C267" s="122"/>
      <c r="D267" s="103" t="str">
        <f t="shared" si="1"/>
        <v/>
      </c>
      <c r="E267" s="103" t="str">
        <f t="shared" si="2"/>
        <v/>
      </c>
      <c r="F267" s="103" t="str">
        <f t="shared" si="3"/>
        <v/>
      </c>
      <c r="G267" s="122"/>
      <c r="H267" s="103">
        <f t="shared" si="4"/>
        <v>0</v>
      </c>
      <c r="I267" s="108">
        <f t="shared" si="5"/>
        <v>0</v>
      </c>
      <c r="J267" s="114"/>
      <c r="K267" s="83"/>
      <c r="L267" s="83"/>
      <c r="M267" s="83"/>
      <c r="N267" s="83"/>
      <c r="O267" s="83"/>
      <c r="P267" s="83"/>
      <c r="Q267" s="83"/>
      <c r="R267" s="83"/>
      <c r="S267" s="83"/>
      <c r="T267" s="83"/>
      <c r="U267" s="83"/>
      <c r="V267" s="83"/>
      <c r="W267" s="83"/>
      <c r="X267" s="83"/>
      <c r="Y267" s="83"/>
      <c r="Z267" s="114"/>
      <c r="AA267" s="115" t="str">
        <f t="shared" si="6"/>
        <v/>
      </c>
      <c r="AB267" s="115">
        <f t="shared" si="7"/>
        <v>0</v>
      </c>
      <c r="AC267" s="115">
        <f t="shared" si="8"/>
        <v>0</v>
      </c>
      <c r="AD267" s="115">
        <f t="shared" si="9"/>
        <v>0</v>
      </c>
    </row>
    <row r="268">
      <c r="A268" s="101"/>
      <c r="B268" s="121"/>
      <c r="C268" s="122"/>
      <c r="D268" s="103" t="str">
        <f t="shared" si="1"/>
        <v/>
      </c>
      <c r="E268" s="103" t="str">
        <f t="shared" si="2"/>
        <v/>
      </c>
      <c r="F268" s="103" t="str">
        <f t="shared" si="3"/>
        <v/>
      </c>
      <c r="G268" s="122"/>
      <c r="H268" s="103">
        <f t="shared" si="4"/>
        <v>0</v>
      </c>
      <c r="I268" s="108">
        <f t="shared" si="5"/>
        <v>0</v>
      </c>
      <c r="J268" s="114"/>
      <c r="K268" s="83"/>
      <c r="L268" s="83"/>
      <c r="M268" s="83"/>
      <c r="N268" s="83"/>
      <c r="O268" s="83"/>
      <c r="P268" s="83"/>
      <c r="Q268" s="83"/>
      <c r="R268" s="83"/>
      <c r="S268" s="83"/>
      <c r="T268" s="83"/>
      <c r="U268" s="83"/>
      <c r="V268" s="83"/>
      <c r="W268" s="83"/>
      <c r="X268" s="83"/>
      <c r="Y268" s="83"/>
      <c r="Z268" s="114"/>
      <c r="AA268" s="115" t="str">
        <f t="shared" si="6"/>
        <v/>
      </c>
      <c r="AB268" s="115">
        <f t="shared" si="7"/>
        <v>0</v>
      </c>
      <c r="AC268" s="115">
        <f t="shared" si="8"/>
        <v>0</v>
      </c>
      <c r="AD268" s="115">
        <f t="shared" si="9"/>
        <v>0</v>
      </c>
    </row>
    <row r="269">
      <c r="A269" s="101"/>
      <c r="B269" s="121"/>
      <c r="C269" s="122"/>
      <c r="D269" s="103" t="str">
        <f t="shared" si="1"/>
        <v/>
      </c>
      <c r="E269" s="103" t="str">
        <f t="shared" si="2"/>
        <v/>
      </c>
      <c r="F269" s="103" t="str">
        <f t="shared" si="3"/>
        <v/>
      </c>
      <c r="G269" s="122"/>
      <c r="H269" s="103">
        <f t="shared" si="4"/>
        <v>0</v>
      </c>
      <c r="I269" s="108">
        <f t="shared" si="5"/>
        <v>0</v>
      </c>
      <c r="J269" s="114"/>
      <c r="K269" s="83"/>
      <c r="L269" s="83"/>
      <c r="M269" s="83"/>
      <c r="N269" s="83"/>
      <c r="O269" s="83"/>
      <c r="P269" s="83"/>
      <c r="Q269" s="83"/>
      <c r="R269" s="83"/>
      <c r="S269" s="83"/>
      <c r="T269" s="83"/>
      <c r="U269" s="83"/>
      <c r="V269" s="83"/>
      <c r="W269" s="83"/>
      <c r="X269" s="83"/>
      <c r="Y269" s="83"/>
      <c r="Z269" s="114"/>
      <c r="AA269" s="115" t="str">
        <f t="shared" si="6"/>
        <v/>
      </c>
      <c r="AB269" s="115">
        <f t="shared" si="7"/>
        <v>0</v>
      </c>
      <c r="AC269" s="115">
        <f t="shared" si="8"/>
        <v>0</v>
      </c>
      <c r="AD269" s="115">
        <f t="shared" si="9"/>
        <v>0</v>
      </c>
    </row>
    <row r="270">
      <c r="A270" s="101"/>
      <c r="B270" s="121"/>
      <c r="C270" s="122"/>
      <c r="D270" s="103" t="str">
        <f t="shared" si="1"/>
        <v/>
      </c>
      <c r="E270" s="103" t="str">
        <f t="shared" si="2"/>
        <v/>
      </c>
      <c r="F270" s="103" t="str">
        <f t="shared" si="3"/>
        <v/>
      </c>
      <c r="G270" s="122"/>
      <c r="H270" s="103">
        <f t="shared" si="4"/>
        <v>0</v>
      </c>
      <c r="I270" s="108">
        <f t="shared" si="5"/>
        <v>0</v>
      </c>
      <c r="J270" s="114"/>
      <c r="K270" s="83"/>
      <c r="L270" s="83"/>
      <c r="M270" s="83"/>
      <c r="N270" s="83"/>
      <c r="O270" s="83"/>
      <c r="P270" s="83"/>
      <c r="Q270" s="83"/>
      <c r="R270" s="83"/>
      <c r="S270" s="83"/>
      <c r="T270" s="83"/>
      <c r="U270" s="83"/>
      <c r="V270" s="83"/>
      <c r="W270" s="83"/>
      <c r="X270" s="83"/>
      <c r="Y270" s="83"/>
      <c r="Z270" s="114"/>
      <c r="AA270" s="115" t="str">
        <f t="shared" si="6"/>
        <v/>
      </c>
      <c r="AB270" s="115">
        <f t="shared" si="7"/>
        <v>0</v>
      </c>
      <c r="AC270" s="115">
        <f t="shared" si="8"/>
        <v>0</v>
      </c>
      <c r="AD270" s="115">
        <f t="shared" si="9"/>
        <v>0</v>
      </c>
    </row>
    <row r="271">
      <c r="A271" s="101"/>
      <c r="B271" s="121"/>
      <c r="C271" s="122"/>
      <c r="D271" s="103" t="str">
        <f t="shared" si="1"/>
        <v/>
      </c>
      <c r="E271" s="103" t="str">
        <f t="shared" si="2"/>
        <v/>
      </c>
      <c r="F271" s="103" t="str">
        <f t="shared" si="3"/>
        <v/>
      </c>
      <c r="G271" s="122"/>
      <c r="H271" s="103">
        <f t="shared" si="4"/>
        <v>0</v>
      </c>
      <c r="I271" s="108">
        <f t="shared" si="5"/>
        <v>0</v>
      </c>
      <c r="J271" s="114"/>
      <c r="K271" s="83"/>
      <c r="L271" s="83"/>
      <c r="M271" s="83"/>
      <c r="N271" s="83"/>
      <c r="O271" s="83"/>
      <c r="P271" s="83"/>
      <c r="Q271" s="83"/>
      <c r="R271" s="83"/>
      <c r="S271" s="83"/>
      <c r="T271" s="83"/>
      <c r="U271" s="83"/>
      <c r="V271" s="83"/>
      <c r="W271" s="83"/>
      <c r="X271" s="83"/>
      <c r="Y271" s="83"/>
      <c r="Z271" s="114"/>
      <c r="AA271" s="115" t="str">
        <f t="shared" si="6"/>
        <v/>
      </c>
      <c r="AB271" s="115">
        <f t="shared" si="7"/>
        <v>0</v>
      </c>
      <c r="AC271" s="115">
        <f t="shared" si="8"/>
        <v>0</v>
      </c>
      <c r="AD271" s="115">
        <f t="shared" si="9"/>
        <v>0</v>
      </c>
    </row>
    <row r="272">
      <c r="A272" s="101"/>
      <c r="B272" s="121"/>
      <c r="C272" s="122"/>
      <c r="D272" s="103" t="str">
        <f t="shared" si="1"/>
        <v/>
      </c>
      <c r="E272" s="103" t="str">
        <f t="shared" si="2"/>
        <v/>
      </c>
      <c r="F272" s="103" t="str">
        <f t="shared" si="3"/>
        <v/>
      </c>
      <c r="G272" s="122"/>
      <c r="H272" s="103">
        <f t="shared" si="4"/>
        <v>0</v>
      </c>
      <c r="I272" s="108">
        <f t="shared" si="5"/>
        <v>0</v>
      </c>
      <c r="J272" s="114"/>
      <c r="K272" s="83"/>
      <c r="L272" s="83"/>
      <c r="M272" s="83"/>
      <c r="N272" s="83"/>
      <c r="O272" s="83"/>
      <c r="P272" s="83"/>
      <c r="Q272" s="83"/>
      <c r="R272" s="83"/>
      <c r="S272" s="83"/>
      <c r="T272" s="83"/>
      <c r="U272" s="83"/>
      <c r="V272" s="83"/>
      <c r="W272" s="83"/>
      <c r="X272" s="83"/>
      <c r="Y272" s="83"/>
      <c r="Z272" s="114"/>
      <c r="AA272" s="115" t="str">
        <f t="shared" si="6"/>
        <v/>
      </c>
      <c r="AB272" s="115">
        <f t="shared" si="7"/>
        <v>0</v>
      </c>
      <c r="AC272" s="115">
        <f t="shared" si="8"/>
        <v>0</v>
      </c>
      <c r="AD272" s="115">
        <f t="shared" si="9"/>
        <v>0</v>
      </c>
    </row>
    <row r="273">
      <c r="A273" s="101"/>
      <c r="B273" s="121"/>
      <c r="C273" s="122"/>
      <c r="D273" s="103" t="str">
        <f t="shared" si="1"/>
        <v/>
      </c>
      <c r="E273" s="103" t="str">
        <f t="shared" si="2"/>
        <v/>
      </c>
      <c r="F273" s="103" t="str">
        <f t="shared" si="3"/>
        <v/>
      </c>
      <c r="G273" s="122"/>
      <c r="H273" s="103">
        <f t="shared" si="4"/>
        <v>0</v>
      </c>
      <c r="I273" s="108">
        <f t="shared" si="5"/>
        <v>0</v>
      </c>
      <c r="J273" s="114"/>
      <c r="K273" s="83"/>
      <c r="L273" s="83"/>
      <c r="M273" s="83"/>
      <c r="N273" s="83"/>
      <c r="O273" s="83"/>
      <c r="P273" s="83"/>
      <c r="Q273" s="83"/>
      <c r="R273" s="83"/>
      <c r="S273" s="83"/>
      <c r="T273" s="83"/>
      <c r="U273" s="83"/>
      <c r="V273" s="83"/>
      <c r="W273" s="83"/>
      <c r="X273" s="83"/>
      <c r="Y273" s="83"/>
      <c r="Z273" s="114"/>
      <c r="AA273" s="115" t="str">
        <f t="shared" si="6"/>
        <v/>
      </c>
      <c r="AB273" s="115">
        <f t="shared" si="7"/>
        <v>0</v>
      </c>
      <c r="AC273" s="115">
        <f t="shared" si="8"/>
        <v>0</v>
      </c>
      <c r="AD273" s="115">
        <f t="shared" si="9"/>
        <v>0</v>
      </c>
    </row>
    <row r="274">
      <c r="A274" s="101"/>
      <c r="B274" s="121"/>
      <c r="C274" s="122"/>
      <c r="D274" s="103" t="str">
        <f t="shared" si="1"/>
        <v/>
      </c>
      <c r="E274" s="103" t="str">
        <f t="shared" si="2"/>
        <v/>
      </c>
      <c r="F274" s="103" t="str">
        <f t="shared" si="3"/>
        <v/>
      </c>
      <c r="G274" s="122"/>
      <c r="H274" s="103">
        <f t="shared" si="4"/>
        <v>0</v>
      </c>
      <c r="I274" s="108">
        <f t="shared" si="5"/>
        <v>0</v>
      </c>
      <c r="J274" s="114"/>
      <c r="K274" s="83"/>
      <c r="L274" s="83"/>
      <c r="M274" s="83"/>
      <c r="N274" s="83"/>
      <c r="O274" s="83"/>
      <c r="P274" s="83"/>
      <c r="Q274" s="83"/>
      <c r="R274" s="83"/>
      <c r="S274" s="83"/>
      <c r="T274" s="83"/>
      <c r="U274" s="83"/>
      <c r="V274" s="83"/>
      <c r="W274" s="83"/>
      <c r="X274" s="83"/>
      <c r="Y274" s="83"/>
      <c r="Z274" s="114"/>
      <c r="AA274" s="115" t="str">
        <f t="shared" si="6"/>
        <v/>
      </c>
      <c r="AB274" s="115">
        <f t="shared" si="7"/>
        <v>0</v>
      </c>
      <c r="AC274" s="115">
        <f t="shared" si="8"/>
        <v>0</v>
      </c>
      <c r="AD274" s="115">
        <f t="shared" si="9"/>
        <v>0</v>
      </c>
    </row>
    <row r="275">
      <c r="A275" s="101"/>
      <c r="B275" s="121"/>
      <c r="C275" s="122"/>
      <c r="D275" s="103" t="str">
        <f t="shared" si="1"/>
        <v/>
      </c>
      <c r="E275" s="103" t="str">
        <f t="shared" si="2"/>
        <v/>
      </c>
      <c r="F275" s="103" t="str">
        <f t="shared" si="3"/>
        <v/>
      </c>
      <c r="G275" s="122"/>
      <c r="H275" s="103">
        <f t="shared" si="4"/>
        <v>0</v>
      </c>
      <c r="I275" s="108">
        <f t="shared" si="5"/>
        <v>0</v>
      </c>
      <c r="J275" s="114"/>
      <c r="K275" s="83"/>
      <c r="L275" s="83"/>
      <c r="M275" s="83"/>
      <c r="N275" s="83"/>
      <c r="O275" s="83"/>
      <c r="P275" s="83"/>
      <c r="Q275" s="83"/>
      <c r="R275" s="83"/>
      <c r="S275" s="83"/>
      <c r="T275" s="83"/>
      <c r="U275" s="83"/>
      <c r="V275" s="83"/>
      <c r="W275" s="83"/>
      <c r="X275" s="83"/>
      <c r="Y275" s="83"/>
      <c r="Z275" s="114"/>
      <c r="AA275" s="115" t="str">
        <f t="shared" si="6"/>
        <v/>
      </c>
      <c r="AB275" s="115">
        <f t="shared" si="7"/>
        <v>0</v>
      </c>
      <c r="AC275" s="115">
        <f t="shared" si="8"/>
        <v>0</v>
      </c>
      <c r="AD275" s="115">
        <f t="shared" si="9"/>
        <v>0</v>
      </c>
    </row>
    <row r="276">
      <c r="A276" s="101"/>
      <c r="B276" s="121"/>
      <c r="C276" s="122"/>
      <c r="D276" s="103" t="str">
        <f t="shared" si="1"/>
        <v/>
      </c>
      <c r="E276" s="103" t="str">
        <f t="shared" si="2"/>
        <v/>
      </c>
      <c r="F276" s="103" t="str">
        <f t="shared" si="3"/>
        <v/>
      </c>
      <c r="G276" s="122"/>
      <c r="H276" s="103">
        <f t="shared" si="4"/>
        <v>0</v>
      </c>
      <c r="I276" s="108">
        <f t="shared" si="5"/>
        <v>0</v>
      </c>
      <c r="J276" s="114"/>
      <c r="K276" s="83"/>
      <c r="L276" s="83"/>
      <c r="M276" s="83"/>
      <c r="N276" s="83"/>
      <c r="O276" s="83"/>
      <c r="P276" s="83"/>
      <c r="Q276" s="83"/>
      <c r="R276" s="83"/>
      <c r="S276" s="83"/>
      <c r="T276" s="83"/>
      <c r="U276" s="83"/>
      <c r="V276" s="83"/>
      <c r="W276" s="83"/>
      <c r="X276" s="83"/>
      <c r="Y276" s="83"/>
      <c r="Z276" s="114"/>
      <c r="AA276" s="115" t="str">
        <f t="shared" si="6"/>
        <v/>
      </c>
      <c r="AB276" s="115">
        <f t="shared" si="7"/>
        <v>0</v>
      </c>
      <c r="AC276" s="115">
        <f t="shared" si="8"/>
        <v>0</v>
      </c>
      <c r="AD276" s="115">
        <f t="shared" si="9"/>
        <v>0</v>
      </c>
    </row>
    <row r="277">
      <c r="A277" s="101"/>
      <c r="B277" s="121"/>
      <c r="C277" s="122"/>
      <c r="D277" s="103" t="str">
        <f t="shared" si="1"/>
        <v/>
      </c>
      <c r="E277" s="103" t="str">
        <f t="shared" si="2"/>
        <v/>
      </c>
      <c r="F277" s="103" t="str">
        <f t="shared" si="3"/>
        <v/>
      </c>
      <c r="G277" s="122"/>
      <c r="H277" s="103">
        <f t="shared" si="4"/>
        <v>0</v>
      </c>
      <c r="I277" s="108">
        <f t="shared" si="5"/>
        <v>0</v>
      </c>
      <c r="J277" s="114"/>
      <c r="K277" s="83"/>
      <c r="L277" s="83"/>
      <c r="M277" s="83"/>
      <c r="N277" s="83"/>
      <c r="O277" s="83"/>
      <c r="P277" s="83"/>
      <c r="Q277" s="83"/>
      <c r="R277" s="83"/>
      <c r="S277" s="83"/>
      <c r="T277" s="83"/>
      <c r="U277" s="83"/>
      <c r="V277" s="83"/>
      <c r="W277" s="83"/>
      <c r="X277" s="83"/>
      <c r="Y277" s="83"/>
      <c r="Z277" s="114"/>
      <c r="AA277" s="115" t="str">
        <f t="shared" si="6"/>
        <v/>
      </c>
      <c r="AB277" s="115">
        <f t="shared" si="7"/>
        <v>0</v>
      </c>
      <c r="AC277" s="115">
        <f t="shared" si="8"/>
        <v>0</v>
      </c>
      <c r="AD277" s="115">
        <f t="shared" si="9"/>
        <v>0</v>
      </c>
    </row>
    <row r="278">
      <c r="A278" s="101"/>
      <c r="B278" s="121"/>
      <c r="C278" s="122"/>
      <c r="D278" s="103" t="str">
        <f t="shared" si="1"/>
        <v/>
      </c>
      <c r="E278" s="103" t="str">
        <f t="shared" si="2"/>
        <v/>
      </c>
      <c r="F278" s="103" t="str">
        <f t="shared" si="3"/>
        <v/>
      </c>
      <c r="G278" s="122"/>
      <c r="H278" s="103">
        <f t="shared" si="4"/>
        <v>0</v>
      </c>
      <c r="I278" s="108">
        <f t="shared" si="5"/>
        <v>0</v>
      </c>
      <c r="J278" s="114"/>
      <c r="K278" s="83"/>
      <c r="L278" s="83"/>
      <c r="M278" s="83"/>
      <c r="N278" s="83"/>
      <c r="O278" s="83"/>
      <c r="P278" s="83"/>
      <c r="Q278" s="83"/>
      <c r="R278" s="83"/>
      <c r="S278" s="83"/>
      <c r="T278" s="83"/>
      <c r="U278" s="83"/>
      <c r="V278" s="83"/>
      <c r="W278" s="83"/>
      <c r="X278" s="83"/>
      <c r="Y278" s="83"/>
      <c r="Z278" s="114"/>
      <c r="AA278" s="115" t="str">
        <f t="shared" si="6"/>
        <v/>
      </c>
      <c r="AB278" s="115">
        <f t="shared" si="7"/>
        <v>0</v>
      </c>
      <c r="AC278" s="115">
        <f t="shared" si="8"/>
        <v>0</v>
      </c>
      <c r="AD278" s="115">
        <f t="shared" si="9"/>
        <v>0</v>
      </c>
    </row>
    <row r="279">
      <c r="A279" s="101"/>
      <c r="B279" s="121"/>
      <c r="C279" s="122"/>
      <c r="D279" s="103" t="str">
        <f t="shared" si="1"/>
        <v/>
      </c>
      <c r="E279" s="103" t="str">
        <f t="shared" si="2"/>
        <v/>
      </c>
      <c r="F279" s="103" t="str">
        <f t="shared" si="3"/>
        <v/>
      </c>
      <c r="G279" s="122"/>
      <c r="H279" s="103">
        <f t="shared" si="4"/>
        <v>0</v>
      </c>
      <c r="I279" s="108">
        <f t="shared" si="5"/>
        <v>0</v>
      </c>
      <c r="J279" s="114"/>
      <c r="K279" s="83"/>
      <c r="L279" s="83"/>
      <c r="M279" s="83"/>
      <c r="N279" s="83"/>
      <c r="O279" s="83"/>
      <c r="P279" s="83"/>
      <c r="Q279" s="83"/>
      <c r="R279" s="83"/>
      <c r="S279" s="83"/>
      <c r="T279" s="83"/>
      <c r="U279" s="83"/>
      <c r="V279" s="83"/>
      <c r="W279" s="83"/>
      <c r="X279" s="83"/>
      <c r="Y279" s="83"/>
      <c r="Z279" s="114"/>
      <c r="AA279" s="115" t="str">
        <f t="shared" si="6"/>
        <v/>
      </c>
      <c r="AB279" s="115">
        <f t="shared" si="7"/>
        <v>0</v>
      </c>
      <c r="AC279" s="115">
        <f t="shared" si="8"/>
        <v>0</v>
      </c>
      <c r="AD279" s="115">
        <f t="shared" si="9"/>
        <v>0</v>
      </c>
    </row>
    <row r="280">
      <c r="A280" s="101"/>
      <c r="B280" s="121"/>
      <c r="C280" s="122"/>
      <c r="D280" s="103" t="str">
        <f t="shared" si="1"/>
        <v/>
      </c>
      <c r="E280" s="103" t="str">
        <f t="shared" si="2"/>
        <v/>
      </c>
      <c r="F280" s="103" t="str">
        <f t="shared" si="3"/>
        <v/>
      </c>
      <c r="G280" s="122"/>
      <c r="H280" s="103">
        <f t="shared" si="4"/>
        <v>0</v>
      </c>
      <c r="I280" s="108">
        <f t="shared" si="5"/>
        <v>0</v>
      </c>
      <c r="J280" s="114"/>
      <c r="K280" s="83"/>
      <c r="L280" s="83"/>
      <c r="M280" s="83"/>
      <c r="N280" s="83"/>
      <c r="O280" s="83"/>
      <c r="P280" s="83"/>
      <c r="Q280" s="83"/>
      <c r="R280" s="83"/>
      <c r="S280" s="83"/>
      <c r="T280" s="83"/>
      <c r="U280" s="83"/>
      <c r="V280" s="83"/>
      <c r="W280" s="83"/>
      <c r="X280" s="83"/>
      <c r="Y280" s="83"/>
      <c r="Z280" s="114"/>
      <c r="AA280" s="115" t="str">
        <f t="shared" si="6"/>
        <v/>
      </c>
      <c r="AB280" s="115">
        <f t="shared" si="7"/>
        <v>0</v>
      </c>
      <c r="AC280" s="115">
        <f t="shared" si="8"/>
        <v>0</v>
      </c>
      <c r="AD280" s="115">
        <f t="shared" si="9"/>
        <v>0</v>
      </c>
    </row>
    <row r="281">
      <c r="A281" s="101"/>
      <c r="B281" s="121"/>
      <c r="C281" s="122"/>
      <c r="D281" s="103" t="str">
        <f t="shared" si="1"/>
        <v/>
      </c>
      <c r="E281" s="103" t="str">
        <f t="shared" si="2"/>
        <v/>
      </c>
      <c r="F281" s="103" t="str">
        <f t="shared" si="3"/>
        <v/>
      </c>
      <c r="G281" s="122"/>
      <c r="H281" s="103">
        <f t="shared" si="4"/>
        <v>0</v>
      </c>
      <c r="I281" s="108">
        <f t="shared" si="5"/>
        <v>0</v>
      </c>
      <c r="J281" s="114"/>
      <c r="K281" s="83"/>
      <c r="L281" s="83"/>
      <c r="M281" s="83"/>
      <c r="N281" s="83"/>
      <c r="O281" s="83"/>
      <c r="P281" s="83"/>
      <c r="Q281" s="83"/>
      <c r="R281" s="83"/>
      <c r="S281" s="83"/>
      <c r="T281" s="83"/>
      <c r="U281" s="83"/>
      <c r="V281" s="83"/>
      <c r="W281" s="83"/>
      <c r="X281" s="83"/>
      <c r="Y281" s="83"/>
      <c r="Z281" s="114"/>
      <c r="AA281" s="115" t="str">
        <f t="shared" si="6"/>
        <v/>
      </c>
      <c r="AB281" s="115">
        <f t="shared" si="7"/>
        <v>0</v>
      </c>
      <c r="AC281" s="115">
        <f t="shared" si="8"/>
        <v>0</v>
      </c>
      <c r="AD281" s="115">
        <f t="shared" si="9"/>
        <v>0</v>
      </c>
    </row>
    <row r="282">
      <c r="A282" s="101"/>
      <c r="B282" s="121"/>
      <c r="C282" s="122"/>
      <c r="D282" s="103" t="str">
        <f t="shared" si="1"/>
        <v/>
      </c>
      <c r="E282" s="103" t="str">
        <f t="shared" si="2"/>
        <v/>
      </c>
      <c r="F282" s="103" t="str">
        <f t="shared" si="3"/>
        <v/>
      </c>
      <c r="G282" s="122"/>
      <c r="H282" s="103">
        <f t="shared" si="4"/>
        <v>0</v>
      </c>
      <c r="I282" s="108">
        <f t="shared" si="5"/>
        <v>0</v>
      </c>
      <c r="J282" s="114"/>
      <c r="K282" s="83"/>
      <c r="L282" s="83"/>
      <c r="M282" s="83"/>
      <c r="N282" s="83"/>
      <c r="O282" s="83"/>
      <c r="P282" s="83"/>
      <c r="Q282" s="83"/>
      <c r="R282" s="83"/>
      <c r="S282" s="83"/>
      <c r="T282" s="83"/>
      <c r="U282" s="83"/>
      <c r="V282" s="83"/>
      <c r="W282" s="83"/>
      <c r="X282" s="83"/>
      <c r="Y282" s="83"/>
      <c r="Z282" s="114"/>
      <c r="AA282" s="115" t="str">
        <f t="shared" si="6"/>
        <v/>
      </c>
      <c r="AB282" s="115">
        <f t="shared" si="7"/>
        <v>0</v>
      </c>
      <c r="AC282" s="115">
        <f t="shared" si="8"/>
        <v>0</v>
      </c>
      <c r="AD282" s="115">
        <f t="shared" si="9"/>
        <v>0</v>
      </c>
    </row>
    <row r="283">
      <c r="A283" s="101"/>
      <c r="B283" s="121"/>
      <c r="C283" s="122"/>
      <c r="D283" s="103" t="str">
        <f t="shared" si="1"/>
        <v/>
      </c>
      <c r="E283" s="103" t="str">
        <f t="shared" si="2"/>
        <v/>
      </c>
      <c r="F283" s="103" t="str">
        <f t="shared" si="3"/>
        <v/>
      </c>
      <c r="G283" s="122"/>
      <c r="H283" s="103">
        <f t="shared" si="4"/>
        <v>0</v>
      </c>
      <c r="I283" s="108">
        <f t="shared" si="5"/>
        <v>0</v>
      </c>
      <c r="J283" s="114"/>
      <c r="K283" s="83"/>
      <c r="L283" s="83"/>
      <c r="M283" s="83"/>
      <c r="N283" s="83"/>
      <c r="O283" s="83"/>
      <c r="P283" s="83"/>
      <c r="Q283" s="83"/>
      <c r="R283" s="83"/>
      <c r="S283" s="83"/>
      <c r="T283" s="83"/>
      <c r="U283" s="83"/>
      <c r="V283" s="83"/>
      <c r="W283" s="83"/>
      <c r="X283" s="83"/>
      <c r="Y283" s="83"/>
      <c r="Z283" s="114"/>
      <c r="AA283" s="115" t="str">
        <f t="shared" si="6"/>
        <v/>
      </c>
      <c r="AB283" s="115">
        <f t="shared" si="7"/>
        <v>0</v>
      </c>
      <c r="AC283" s="115">
        <f t="shared" si="8"/>
        <v>0</v>
      </c>
      <c r="AD283" s="115">
        <f t="shared" si="9"/>
        <v>0</v>
      </c>
    </row>
    <row r="284">
      <c r="A284" s="101"/>
      <c r="B284" s="121"/>
      <c r="C284" s="122"/>
      <c r="D284" s="103" t="str">
        <f t="shared" si="1"/>
        <v/>
      </c>
      <c r="E284" s="103" t="str">
        <f t="shared" si="2"/>
        <v/>
      </c>
      <c r="F284" s="103" t="str">
        <f t="shared" si="3"/>
        <v/>
      </c>
      <c r="G284" s="122"/>
      <c r="H284" s="103">
        <f t="shared" si="4"/>
        <v>0</v>
      </c>
      <c r="I284" s="108">
        <f t="shared" si="5"/>
        <v>0</v>
      </c>
      <c r="J284" s="114"/>
      <c r="K284" s="83"/>
      <c r="L284" s="83"/>
      <c r="M284" s="83"/>
      <c r="N284" s="83"/>
      <c r="O284" s="83"/>
      <c r="P284" s="83"/>
      <c r="Q284" s="83"/>
      <c r="R284" s="83"/>
      <c r="S284" s="83"/>
      <c r="T284" s="83"/>
      <c r="U284" s="83"/>
      <c r="V284" s="83"/>
      <c r="W284" s="83"/>
      <c r="X284" s="83"/>
      <c r="Y284" s="83"/>
      <c r="Z284" s="114"/>
      <c r="AA284" s="115" t="str">
        <f t="shared" si="6"/>
        <v/>
      </c>
      <c r="AB284" s="115">
        <f t="shared" si="7"/>
        <v>0</v>
      </c>
      <c r="AC284" s="115">
        <f t="shared" si="8"/>
        <v>0</v>
      </c>
      <c r="AD284" s="115">
        <f t="shared" si="9"/>
        <v>0</v>
      </c>
    </row>
    <row r="285">
      <c r="A285" s="101"/>
      <c r="B285" s="121"/>
      <c r="C285" s="122"/>
      <c r="D285" s="103" t="str">
        <f t="shared" si="1"/>
        <v/>
      </c>
      <c r="E285" s="103" t="str">
        <f t="shared" si="2"/>
        <v/>
      </c>
      <c r="F285" s="103" t="str">
        <f t="shared" si="3"/>
        <v/>
      </c>
      <c r="G285" s="122"/>
      <c r="H285" s="103">
        <f t="shared" si="4"/>
        <v>0</v>
      </c>
      <c r="I285" s="108">
        <f t="shared" si="5"/>
        <v>0</v>
      </c>
      <c r="J285" s="114"/>
      <c r="K285" s="83"/>
      <c r="L285" s="83"/>
      <c r="M285" s="83"/>
      <c r="N285" s="83"/>
      <c r="O285" s="83"/>
      <c r="P285" s="83"/>
      <c r="Q285" s="83"/>
      <c r="R285" s="83"/>
      <c r="S285" s="83"/>
      <c r="T285" s="83"/>
      <c r="U285" s="83"/>
      <c r="V285" s="83"/>
      <c r="W285" s="83"/>
      <c r="X285" s="83"/>
      <c r="Y285" s="83"/>
      <c r="Z285" s="114"/>
      <c r="AA285" s="115" t="str">
        <f t="shared" si="6"/>
        <v/>
      </c>
      <c r="AB285" s="115">
        <f t="shared" si="7"/>
        <v>0</v>
      </c>
      <c r="AC285" s="115">
        <f t="shared" si="8"/>
        <v>0</v>
      </c>
      <c r="AD285" s="115">
        <f t="shared" si="9"/>
        <v>0</v>
      </c>
    </row>
    <row r="286">
      <c r="A286" s="101"/>
      <c r="B286" s="121"/>
      <c r="C286" s="122"/>
      <c r="D286" s="103" t="str">
        <f t="shared" si="1"/>
        <v/>
      </c>
      <c r="E286" s="103" t="str">
        <f t="shared" si="2"/>
        <v/>
      </c>
      <c r="F286" s="103" t="str">
        <f t="shared" si="3"/>
        <v/>
      </c>
      <c r="G286" s="122"/>
      <c r="H286" s="103">
        <f t="shared" si="4"/>
        <v>0</v>
      </c>
      <c r="I286" s="108">
        <f t="shared" si="5"/>
        <v>0</v>
      </c>
      <c r="J286" s="114"/>
      <c r="K286" s="83"/>
      <c r="L286" s="83"/>
      <c r="M286" s="83"/>
      <c r="N286" s="83"/>
      <c r="O286" s="83"/>
      <c r="P286" s="83"/>
      <c r="Q286" s="83"/>
      <c r="R286" s="83"/>
      <c r="S286" s="83"/>
      <c r="T286" s="83"/>
      <c r="U286" s="83"/>
      <c r="V286" s="83"/>
      <c r="W286" s="83"/>
      <c r="X286" s="83"/>
      <c r="Y286" s="83"/>
      <c r="Z286" s="114"/>
      <c r="AA286" s="115" t="str">
        <f t="shared" si="6"/>
        <v/>
      </c>
      <c r="AB286" s="115">
        <f t="shared" si="7"/>
        <v>0</v>
      </c>
      <c r="AC286" s="115">
        <f t="shared" si="8"/>
        <v>0</v>
      </c>
      <c r="AD286" s="115">
        <f t="shared" si="9"/>
        <v>0</v>
      </c>
    </row>
    <row r="287">
      <c r="A287" s="101"/>
      <c r="B287" s="121"/>
      <c r="C287" s="122"/>
      <c r="D287" s="103" t="str">
        <f t="shared" si="1"/>
        <v/>
      </c>
      <c r="E287" s="103" t="str">
        <f t="shared" si="2"/>
        <v/>
      </c>
      <c r="F287" s="103" t="str">
        <f t="shared" si="3"/>
        <v/>
      </c>
      <c r="G287" s="122"/>
      <c r="H287" s="103">
        <f t="shared" si="4"/>
        <v>0</v>
      </c>
      <c r="I287" s="108">
        <f t="shared" si="5"/>
        <v>0</v>
      </c>
      <c r="J287" s="114"/>
      <c r="K287" s="83"/>
      <c r="L287" s="83"/>
      <c r="M287" s="83"/>
      <c r="N287" s="83"/>
      <c r="O287" s="83"/>
      <c r="P287" s="83"/>
      <c r="Q287" s="83"/>
      <c r="R287" s="83"/>
      <c r="S287" s="83"/>
      <c r="T287" s="83"/>
      <c r="U287" s="83"/>
      <c r="V287" s="83"/>
      <c r="W287" s="83"/>
      <c r="X287" s="83"/>
      <c r="Y287" s="83"/>
      <c r="Z287" s="114"/>
      <c r="AA287" s="115" t="str">
        <f t="shared" si="6"/>
        <v/>
      </c>
      <c r="AB287" s="115">
        <f t="shared" si="7"/>
        <v>0</v>
      </c>
      <c r="AC287" s="115">
        <f t="shared" si="8"/>
        <v>0</v>
      </c>
      <c r="AD287" s="115">
        <f t="shared" si="9"/>
        <v>0</v>
      </c>
    </row>
    <row r="288">
      <c r="A288" s="101"/>
      <c r="B288" s="121"/>
      <c r="C288" s="122"/>
      <c r="D288" s="103" t="str">
        <f t="shared" si="1"/>
        <v/>
      </c>
      <c r="E288" s="103" t="str">
        <f t="shared" si="2"/>
        <v/>
      </c>
      <c r="F288" s="103" t="str">
        <f t="shared" si="3"/>
        <v/>
      </c>
      <c r="G288" s="122"/>
      <c r="H288" s="103">
        <f t="shared" si="4"/>
        <v>0</v>
      </c>
      <c r="I288" s="108">
        <f t="shared" si="5"/>
        <v>0</v>
      </c>
      <c r="J288" s="114"/>
      <c r="K288" s="83"/>
      <c r="L288" s="83"/>
      <c r="M288" s="83"/>
      <c r="N288" s="83"/>
      <c r="O288" s="83"/>
      <c r="P288" s="83"/>
      <c r="Q288" s="83"/>
      <c r="R288" s="83"/>
      <c r="S288" s="83"/>
      <c r="T288" s="83"/>
      <c r="U288" s="83"/>
      <c r="V288" s="83"/>
      <c r="W288" s="83"/>
      <c r="X288" s="83"/>
      <c r="Y288" s="83"/>
      <c r="Z288" s="114"/>
      <c r="AA288" s="115" t="str">
        <f t="shared" si="6"/>
        <v/>
      </c>
      <c r="AB288" s="115">
        <f t="shared" si="7"/>
        <v>0</v>
      </c>
      <c r="AC288" s="115">
        <f t="shared" si="8"/>
        <v>0</v>
      </c>
      <c r="AD288" s="115">
        <f t="shared" si="9"/>
        <v>0</v>
      </c>
    </row>
    <row r="289">
      <c r="A289" s="101"/>
      <c r="B289" s="121"/>
      <c r="C289" s="122"/>
      <c r="D289" s="103" t="str">
        <f t="shared" si="1"/>
        <v/>
      </c>
      <c r="E289" s="103" t="str">
        <f t="shared" si="2"/>
        <v/>
      </c>
      <c r="F289" s="103" t="str">
        <f t="shared" si="3"/>
        <v/>
      </c>
      <c r="G289" s="122"/>
      <c r="H289" s="103">
        <f t="shared" si="4"/>
        <v>0</v>
      </c>
      <c r="I289" s="108">
        <f t="shared" si="5"/>
        <v>0</v>
      </c>
      <c r="J289" s="114"/>
      <c r="K289" s="83"/>
      <c r="L289" s="83"/>
      <c r="M289" s="83"/>
      <c r="N289" s="83"/>
      <c r="O289" s="83"/>
      <c r="P289" s="83"/>
      <c r="Q289" s="83"/>
      <c r="R289" s="83"/>
      <c r="S289" s="83"/>
      <c r="T289" s="83"/>
      <c r="U289" s="83"/>
      <c r="V289" s="83"/>
      <c r="W289" s="83"/>
      <c r="X289" s="83"/>
      <c r="Y289" s="83"/>
      <c r="Z289" s="114"/>
      <c r="AA289" s="115" t="str">
        <f t="shared" si="6"/>
        <v/>
      </c>
      <c r="AB289" s="115">
        <f t="shared" si="7"/>
        <v>0</v>
      </c>
      <c r="AC289" s="115">
        <f t="shared" si="8"/>
        <v>0</v>
      </c>
      <c r="AD289" s="115">
        <f t="shared" si="9"/>
        <v>0</v>
      </c>
    </row>
    <row r="290">
      <c r="A290" s="101"/>
      <c r="B290" s="121"/>
      <c r="C290" s="122"/>
      <c r="D290" s="103" t="str">
        <f t="shared" si="1"/>
        <v/>
      </c>
      <c r="E290" s="103" t="str">
        <f t="shared" si="2"/>
        <v/>
      </c>
      <c r="F290" s="103" t="str">
        <f t="shared" si="3"/>
        <v/>
      </c>
      <c r="G290" s="122"/>
      <c r="H290" s="103">
        <f t="shared" si="4"/>
        <v>0</v>
      </c>
      <c r="I290" s="108">
        <f t="shared" si="5"/>
        <v>0</v>
      </c>
      <c r="J290" s="114"/>
      <c r="K290" s="83"/>
      <c r="L290" s="83"/>
      <c r="M290" s="83"/>
      <c r="N290" s="83"/>
      <c r="O290" s="83"/>
      <c r="P290" s="83"/>
      <c r="Q290" s="83"/>
      <c r="R290" s="83"/>
      <c r="S290" s="83"/>
      <c r="T290" s="83"/>
      <c r="U290" s="83"/>
      <c r="V290" s="83"/>
      <c r="W290" s="83"/>
      <c r="X290" s="83"/>
      <c r="Y290" s="83"/>
      <c r="Z290" s="114"/>
      <c r="AA290" s="115" t="str">
        <f t="shared" si="6"/>
        <v/>
      </c>
      <c r="AB290" s="115">
        <f t="shared" si="7"/>
        <v>0</v>
      </c>
      <c r="AC290" s="115">
        <f t="shared" si="8"/>
        <v>0</v>
      </c>
      <c r="AD290" s="115">
        <f t="shared" si="9"/>
        <v>0</v>
      </c>
    </row>
    <row r="291">
      <c r="A291" s="101"/>
      <c r="B291" s="121"/>
      <c r="C291" s="122"/>
      <c r="D291" s="103" t="str">
        <f t="shared" si="1"/>
        <v/>
      </c>
      <c r="E291" s="103" t="str">
        <f t="shared" si="2"/>
        <v/>
      </c>
      <c r="F291" s="103" t="str">
        <f t="shared" si="3"/>
        <v/>
      </c>
      <c r="G291" s="122"/>
      <c r="H291" s="103">
        <f t="shared" si="4"/>
        <v>0</v>
      </c>
      <c r="I291" s="108">
        <f t="shared" si="5"/>
        <v>0</v>
      </c>
      <c r="J291" s="114"/>
      <c r="K291" s="83"/>
      <c r="L291" s="83"/>
      <c r="M291" s="83"/>
      <c r="N291" s="83"/>
      <c r="O291" s="83"/>
      <c r="P291" s="83"/>
      <c r="Q291" s="83"/>
      <c r="R291" s="83"/>
      <c r="S291" s="83"/>
      <c r="T291" s="83"/>
      <c r="U291" s="83"/>
      <c r="V291" s="83"/>
      <c r="W291" s="83"/>
      <c r="X291" s="83"/>
      <c r="Y291" s="83"/>
      <c r="Z291" s="114"/>
      <c r="AA291" s="115" t="str">
        <f t="shared" si="6"/>
        <v/>
      </c>
      <c r="AB291" s="115">
        <f t="shared" si="7"/>
        <v>0</v>
      </c>
      <c r="AC291" s="115">
        <f t="shared" si="8"/>
        <v>0</v>
      </c>
      <c r="AD291" s="115">
        <f t="shared" si="9"/>
        <v>0</v>
      </c>
    </row>
    <row r="292">
      <c r="A292" s="101"/>
      <c r="B292" s="121"/>
      <c r="C292" s="122"/>
      <c r="D292" s="103" t="str">
        <f t="shared" si="1"/>
        <v/>
      </c>
      <c r="E292" s="103" t="str">
        <f t="shared" si="2"/>
        <v/>
      </c>
      <c r="F292" s="103" t="str">
        <f t="shared" si="3"/>
        <v/>
      </c>
      <c r="G292" s="122"/>
      <c r="H292" s="103">
        <f t="shared" si="4"/>
        <v>0</v>
      </c>
      <c r="I292" s="108">
        <f t="shared" si="5"/>
        <v>0</v>
      </c>
      <c r="J292" s="114"/>
      <c r="K292" s="83"/>
      <c r="L292" s="83"/>
      <c r="M292" s="83"/>
      <c r="N292" s="83"/>
      <c r="O292" s="83"/>
      <c r="P292" s="83"/>
      <c r="Q292" s="83"/>
      <c r="R292" s="83"/>
      <c r="S292" s="83"/>
      <c r="T292" s="83"/>
      <c r="U292" s="83"/>
      <c r="V292" s="83"/>
      <c r="W292" s="83"/>
      <c r="X292" s="83"/>
      <c r="Y292" s="83"/>
      <c r="Z292" s="114"/>
      <c r="AA292" s="115" t="str">
        <f t="shared" si="6"/>
        <v/>
      </c>
      <c r="AB292" s="115">
        <f t="shared" si="7"/>
        <v>0</v>
      </c>
      <c r="AC292" s="115">
        <f t="shared" si="8"/>
        <v>0</v>
      </c>
      <c r="AD292" s="115">
        <f t="shared" si="9"/>
        <v>0</v>
      </c>
    </row>
    <row r="293">
      <c r="A293" s="101"/>
      <c r="B293" s="121"/>
      <c r="C293" s="122"/>
      <c r="D293" s="103" t="str">
        <f t="shared" si="1"/>
        <v/>
      </c>
      <c r="E293" s="103" t="str">
        <f t="shared" si="2"/>
        <v/>
      </c>
      <c r="F293" s="103" t="str">
        <f t="shared" si="3"/>
        <v/>
      </c>
      <c r="G293" s="122"/>
      <c r="H293" s="103">
        <f t="shared" si="4"/>
        <v>0</v>
      </c>
      <c r="I293" s="108">
        <f t="shared" si="5"/>
        <v>0</v>
      </c>
      <c r="J293" s="114"/>
      <c r="K293" s="83"/>
      <c r="L293" s="83"/>
      <c r="M293" s="83"/>
      <c r="N293" s="83"/>
      <c r="O293" s="83"/>
      <c r="P293" s="83"/>
      <c r="Q293" s="83"/>
      <c r="R293" s="83"/>
      <c r="S293" s="83"/>
      <c r="T293" s="83"/>
      <c r="U293" s="83"/>
      <c r="V293" s="83"/>
      <c r="W293" s="83"/>
      <c r="X293" s="83"/>
      <c r="Y293" s="83"/>
      <c r="Z293" s="114"/>
      <c r="AA293" s="115" t="str">
        <f t="shared" si="6"/>
        <v/>
      </c>
      <c r="AB293" s="115">
        <f t="shared" si="7"/>
        <v>0</v>
      </c>
      <c r="AC293" s="115">
        <f t="shared" si="8"/>
        <v>0</v>
      </c>
      <c r="AD293" s="115">
        <f t="shared" si="9"/>
        <v>0</v>
      </c>
    </row>
    <row r="294">
      <c r="A294" s="101"/>
      <c r="B294" s="121"/>
      <c r="C294" s="122"/>
      <c r="D294" s="103" t="str">
        <f t="shared" si="1"/>
        <v/>
      </c>
      <c r="E294" s="103" t="str">
        <f t="shared" si="2"/>
        <v/>
      </c>
      <c r="F294" s="103" t="str">
        <f t="shared" si="3"/>
        <v/>
      </c>
      <c r="G294" s="122"/>
      <c r="H294" s="103">
        <f t="shared" si="4"/>
        <v>0</v>
      </c>
      <c r="I294" s="108">
        <f t="shared" si="5"/>
        <v>0</v>
      </c>
      <c r="J294" s="114"/>
      <c r="K294" s="83"/>
      <c r="L294" s="83"/>
      <c r="M294" s="83"/>
      <c r="N294" s="83"/>
      <c r="O294" s="83"/>
      <c r="P294" s="83"/>
      <c r="Q294" s="83"/>
      <c r="R294" s="83"/>
      <c r="S294" s="83"/>
      <c r="T294" s="83"/>
      <c r="U294" s="83"/>
      <c r="V294" s="83"/>
      <c r="W294" s="83"/>
      <c r="X294" s="83"/>
      <c r="Y294" s="83"/>
      <c r="Z294" s="114"/>
      <c r="AA294" s="115" t="str">
        <f t="shared" si="6"/>
        <v/>
      </c>
      <c r="AB294" s="115">
        <f t="shared" si="7"/>
        <v>0</v>
      </c>
      <c r="AC294" s="115">
        <f t="shared" si="8"/>
        <v>0</v>
      </c>
      <c r="AD294" s="115">
        <f t="shared" si="9"/>
        <v>0</v>
      </c>
    </row>
    <row r="295">
      <c r="A295" s="101"/>
      <c r="B295" s="121"/>
      <c r="C295" s="122"/>
      <c r="D295" s="103" t="str">
        <f t="shared" si="1"/>
        <v/>
      </c>
      <c r="E295" s="103" t="str">
        <f t="shared" si="2"/>
        <v/>
      </c>
      <c r="F295" s="103" t="str">
        <f t="shared" si="3"/>
        <v/>
      </c>
      <c r="G295" s="122"/>
      <c r="H295" s="103">
        <f t="shared" si="4"/>
        <v>0</v>
      </c>
      <c r="I295" s="108">
        <f t="shared" si="5"/>
        <v>0</v>
      </c>
      <c r="J295" s="114"/>
      <c r="K295" s="83"/>
      <c r="L295" s="83"/>
      <c r="M295" s="83"/>
      <c r="N295" s="83"/>
      <c r="O295" s="83"/>
      <c r="P295" s="83"/>
      <c r="Q295" s="83"/>
      <c r="R295" s="83"/>
      <c r="S295" s="83"/>
      <c r="T295" s="83"/>
      <c r="U295" s="83"/>
      <c r="V295" s="83"/>
      <c r="W295" s="83"/>
      <c r="X295" s="83"/>
      <c r="Y295" s="83"/>
      <c r="Z295" s="114"/>
      <c r="AA295" s="115" t="str">
        <f t="shared" si="6"/>
        <v/>
      </c>
      <c r="AB295" s="115">
        <f t="shared" si="7"/>
        <v>0</v>
      </c>
      <c r="AC295" s="115">
        <f t="shared" si="8"/>
        <v>0</v>
      </c>
      <c r="AD295" s="115">
        <f t="shared" si="9"/>
        <v>0</v>
      </c>
    </row>
    <row r="296">
      <c r="A296" s="101"/>
      <c r="B296" s="121"/>
      <c r="C296" s="122"/>
      <c r="D296" s="103" t="str">
        <f t="shared" si="1"/>
        <v/>
      </c>
      <c r="E296" s="103" t="str">
        <f t="shared" si="2"/>
        <v/>
      </c>
      <c r="F296" s="103" t="str">
        <f t="shared" si="3"/>
        <v/>
      </c>
      <c r="G296" s="122"/>
      <c r="H296" s="103">
        <f t="shared" si="4"/>
        <v>0</v>
      </c>
      <c r="I296" s="108">
        <f t="shared" si="5"/>
        <v>0</v>
      </c>
      <c r="J296" s="114"/>
      <c r="K296" s="83"/>
      <c r="L296" s="83"/>
      <c r="M296" s="83"/>
      <c r="N296" s="83"/>
      <c r="O296" s="83"/>
      <c r="P296" s="83"/>
      <c r="Q296" s="83"/>
      <c r="R296" s="83"/>
      <c r="S296" s="83"/>
      <c r="T296" s="83"/>
      <c r="U296" s="83"/>
      <c r="V296" s="83"/>
      <c r="W296" s="83"/>
      <c r="X296" s="83"/>
      <c r="Y296" s="83"/>
      <c r="Z296" s="114"/>
      <c r="AA296" s="115" t="str">
        <f t="shared" si="6"/>
        <v/>
      </c>
      <c r="AB296" s="115">
        <f t="shared" si="7"/>
        <v>0</v>
      </c>
      <c r="AC296" s="115">
        <f t="shared" si="8"/>
        <v>0</v>
      </c>
      <c r="AD296" s="115">
        <f t="shared" si="9"/>
        <v>0</v>
      </c>
    </row>
    <row r="297">
      <c r="A297" s="101"/>
      <c r="B297" s="121"/>
      <c r="C297" s="122"/>
      <c r="D297" s="103" t="str">
        <f t="shared" si="1"/>
        <v/>
      </c>
      <c r="E297" s="103" t="str">
        <f t="shared" si="2"/>
        <v/>
      </c>
      <c r="F297" s="103" t="str">
        <f t="shared" si="3"/>
        <v/>
      </c>
      <c r="G297" s="122"/>
      <c r="H297" s="103">
        <f t="shared" si="4"/>
        <v>0</v>
      </c>
      <c r="I297" s="108">
        <f t="shared" si="5"/>
        <v>0</v>
      </c>
      <c r="J297" s="114"/>
      <c r="K297" s="83"/>
      <c r="L297" s="83"/>
      <c r="M297" s="83"/>
      <c r="N297" s="83"/>
      <c r="O297" s="83"/>
      <c r="P297" s="83"/>
      <c r="Q297" s="83"/>
      <c r="R297" s="83"/>
      <c r="S297" s="83"/>
      <c r="T297" s="83"/>
      <c r="U297" s="83"/>
      <c r="V297" s="83"/>
      <c r="W297" s="83"/>
      <c r="X297" s="83"/>
      <c r="Y297" s="83"/>
      <c r="Z297" s="114"/>
      <c r="AA297" s="115" t="str">
        <f t="shared" si="6"/>
        <v/>
      </c>
      <c r="AB297" s="115">
        <f t="shared" si="7"/>
        <v>0</v>
      </c>
      <c r="AC297" s="115">
        <f t="shared" si="8"/>
        <v>0</v>
      </c>
      <c r="AD297" s="115">
        <f t="shared" si="9"/>
        <v>0</v>
      </c>
    </row>
    <row r="298">
      <c r="A298" s="101"/>
      <c r="B298" s="121"/>
      <c r="C298" s="122"/>
      <c r="D298" s="103" t="str">
        <f t="shared" si="1"/>
        <v/>
      </c>
      <c r="E298" s="103" t="str">
        <f t="shared" si="2"/>
        <v/>
      </c>
      <c r="F298" s="103" t="str">
        <f t="shared" si="3"/>
        <v/>
      </c>
      <c r="G298" s="122"/>
      <c r="H298" s="103">
        <f t="shared" si="4"/>
        <v>0</v>
      </c>
      <c r="I298" s="108">
        <f t="shared" si="5"/>
        <v>0</v>
      </c>
      <c r="J298" s="114"/>
      <c r="K298" s="83"/>
      <c r="L298" s="83"/>
      <c r="M298" s="83"/>
      <c r="N298" s="83"/>
      <c r="O298" s="83"/>
      <c r="P298" s="83"/>
      <c r="Q298" s="83"/>
      <c r="R298" s="83"/>
      <c r="S298" s="83"/>
      <c r="T298" s="83"/>
      <c r="U298" s="83"/>
      <c r="V298" s="83"/>
      <c r="W298" s="83"/>
      <c r="X298" s="83"/>
      <c r="Y298" s="83"/>
      <c r="Z298" s="114"/>
      <c r="AA298" s="115" t="str">
        <f t="shared" si="6"/>
        <v/>
      </c>
      <c r="AB298" s="115">
        <f t="shared" si="7"/>
        <v>0</v>
      </c>
      <c r="AC298" s="115">
        <f t="shared" si="8"/>
        <v>0</v>
      </c>
      <c r="AD298" s="115">
        <f t="shared" si="9"/>
        <v>0</v>
      </c>
    </row>
    <row r="299">
      <c r="A299" s="101"/>
      <c r="B299" s="121"/>
      <c r="C299" s="122"/>
      <c r="D299" s="103" t="str">
        <f t="shared" si="1"/>
        <v/>
      </c>
      <c r="E299" s="103" t="str">
        <f t="shared" si="2"/>
        <v/>
      </c>
      <c r="F299" s="103" t="str">
        <f t="shared" si="3"/>
        <v/>
      </c>
      <c r="G299" s="122"/>
      <c r="H299" s="103">
        <f t="shared" si="4"/>
        <v>0</v>
      </c>
      <c r="I299" s="108">
        <f t="shared" si="5"/>
        <v>0</v>
      </c>
      <c r="J299" s="114"/>
      <c r="K299" s="83"/>
      <c r="L299" s="83"/>
      <c r="M299" s="83"/>
      <c r="N299" s="83"/>
      <c r="O299" s="83"/>
      <c r="P299" s="83"/>
      <c r="Q299" s="83"/>
      <c r="R299" s="83"/>
      <c r="S299" s="83"/>
      <c r="T299" s="83"/>
      <c r="U299" s="83"/>
      <c r="V299" s="83"/>
      <c r="W299" s="83"/>
      <c r="X299" s="83"/>
      <c r="Y299" s="83"/>
      <c r="Z299" s="114"/>
      <c r="AA299" s="115" t="str">
        <f t="shared" si="6"/>
        <v/>
      </c>
      <c r="AB299" s="115">
        <f t="shared" si="7"/>
        <v>0</v>
      </c>
      <c r="AC299" s="115">
        <f t="shared" si="8"/>
        <v>0</v>
      </c>
      <c r="AD299" s="115">
        <f t="shared" si="9"/>
        <v>0</v>
      </c>
    </row>
    <row r="300">
      <c r="A300" s="101"/>
      <c r="B300" s="121"/>
      <c r="C300" s="122"/>
      <c r="D300" s="103" t="str">
        <f t="shared" si="1"/>
        <v/>
      </c>
      <c r="E300" s="103" t="str">
        <f t="shared" si="2"/>
        <v/>
      </c>
      <c r="F300" s="103" t="str">
        <f t="shared" si="3"/>
        <v/>
      </c>
      <c r="G300" s="122"/>
      <c r="H300" s="103">
        <f t="shared" si="4"/>
        <v>0</v>
      </c>
      <c r="I300" s="108">
        <f t="shared" si="5"/>
        <v>0</v>
      </c>
      <c r="J300" s="114"/>
      <c r="K300" s="83"/>
      <c r="L300" s="83"/>
      <c r="M300" s="83"/>
      <c r="N300" s="83"/>
      <c r="O300" s="83"/>
      <c r="P300" s="83"/>
      <c r="Q300" s="83"/>
      <c r="R300" s="83"/>
      <c r="S300" s="83"/>
      <c r="T300" s="83"/>
      <c r="U300" s="83"/>
      <c r="V300" s="83"/>
      <c r="W300" s="83"/>
      <c r="X300" s="83"/>
      <c r="Y300" s="83"/>
      <c r="Z300" s="114"/>
      <c r="AA300" s="115" t="str">
        <f t="shared" si="6"/>
        <v/>
      </c>
      <c r="AB300" s="115">
        <f t="shared" si="7"/>
        <v>0</v>
      </c>
      <c r="AC300" s="115">
        <f t="shared" si="8"/>
        <v>0</v>
      </c>
      <c r="AD300" s="115">
        <f t="shared" si="9"/>
        <v>0</v>
      </c>
    </row>
    <row r="301">
      <c r="A301" s="101"/>
      <c r="B301" s="121"/>
      <c r="C301" s="122"/>
      <c r="D301" s="103" t="str">
        <f t="shared" si="1"/>
        <v/>
      </c>
      <c r="E301" s="103" t="str">
        <f t="shared" si="2"/>
        <v/>
      </c>
      <c r="F301" s="103" t="str">
        <f t="shared" si="3"/>
        <v/>
      </c>
      <c r="G301" s="122"/>
      <c r="H301" s="103">
        <f t="shared" si="4"/>
        <v>0</v>
      </c>
      <c r="I301" s="108">
        <f t="shared" si="5"/>
        <v>0</v>
      </c>
      <c r="J301" s="114"/>
      <c r="K301" s="83"/>
      <c r="L301" s="83"/>
      <c r="M301" s="83"/>
      <c r="N301" s="83"/>
      <c r="O301" s="83"/>
      <c r="P301" s="83"/>
      <c r="Q301" s="83"/>
      <c r="R301" s="83"/>
      <c r="S301" s="83"/>
      <c r="T301" s="83"/>
      <c r="U301" s="83"/>
      <c r="V301" s="83"/>
      <c r="W301" s="83"/>
      <c r="X301" s="83"/>
      <c r="Y301" s="83"/>
      <c r="Z301" s="114"/>
      <c r="AA301" s="115" t="str">
        <f t="shared" si="6"/>
        <v/>
      </c>
      <c r="AB301" s="115">
        <f t="shared" si="7"/>
        <v>0</v>
      </c>
      <c r="AC301" s="115">
        <f t="shared" si="8"/>
        <v>0</v>
      </c>
      <c r="AD301" s="115">
        <f t="shared" si="9"/>
        <v>0</v>
      </c>
    </row>
    <row r="302">
      <c r="A302" s="101"/>
      <c r="B302" s="121"/>
      <c r="C302" s="122"/>
      <c r="D302" s="103" t="str">
        <f t="shared" si="1"/>
        <v/>
      </c>
      <c r="E302" s="103" t="str">
        <f t="shared" si="2"/>
        <v/>
      </c>
      <c r="F302" s="103" t="str">
        <f t="shared" si="3"/>
        <v/>
      </c>
      <c r="G302" s="122"/>
      <c r="H302" s="103">
        <f t="shared" si="4"/>
        <v>0</v>
      </c>
      <c r="I302" s="108">
        <f t="shared" si="5"/>
        <v>0</v>
      </c>
      <c r="J302" s="114"/>
      <c r="K302" s="83"/>
      <c r="L302" s="83"/>
      <c r="M302" s="83"/>
      <c r="N302" s="83"/>
      <c r="O302" s="83"/>
      <c r="P302" s="83"/>
      <c r="Q302" s="83"/>
      <c r="R302" s="83"/>
      <c r="S302" s="83"/>
      <c r="T302" s="83"/>
      <c r="U302" s="83"/>
      <c r="V302" s="83"/>
      <c r="W302" s="83"/>
      <c r="X302" s="83"/>
      <c r="Y302" s="83"/>
      <c r="Z302" s="114"/>
      <c r="AA302" s="115" t="str">
        <f t="shared" si="6"/>
        <v/>
      </c>
      <c r="AB302" s="115">
        <f t="shared" si="7"/>
        <v>0</v>
      </c>
      <c r="AC302" s="115">
        <f t="shared" si="8"/>
        <v>0</v>
      </c>
      <c r="AD302" s="115">
        <f t="shared" si="9"/>
        <v>0</v>
      </c>
    </row>
    <row r="303">
      <c r="A303" s="101"/>
      <c r="B303" s="121"/>
      <c r="C303" s="122"/>
      <c r="D303" s="103" t="str">
        <f t="shared" si="1"/>
        <v/>
      </c>
      <c r="E303" s="103" t="str">
        <f t="shared" si="2"/>
        <v/>
      </c>
      <c r="F303" s="103" t="str">
        <f t="shared" si="3"/>
        <v/>
      </c>
      <c r="G303" s="122"/>
      <c r="H303" s="103">
        <f t="shared" si="4"/>
        <v>0</v>
      </c>
      <c r="I303" s="108">
        <f t="shared" si="5"/>
        <v>0</v>
      </c>
      <c r="J303" s="114"/>
      <c r="K303" s="83"/>
      <c r="L303" s="83"/>
      <c r="M303" s="83"/>
      <c r="N303" s="83"/>
      <c r="O303" s="83"/>
      <c r="P303" s="83"/>
      <c r="Q303" s="83"/>
      <c r="R303" s="83"/>
      <c r="S303" s="83"/>
      <c r="T303" s="83"/>
      <c r="U303" s="83"/>
      <c r="V303" s="83"/>
      <c r="W303" s="83"/>
      <c r="X303" s="83"/>
      <c r="Y303" s="83"/>
      <c r="Z303" s="114"/>
      <c r="AA303" s="115" t="str">
        <f t="shared" si="6"/>
        <v/>
      </c>
      <c r="AB303" s="115">
        <f t="shared" si="7"/>
        <v>0</v>
      </c>
      <c r="AC303" s="115">
        <f t="shared" si="8"/>
        <v>0</v>
      </c>
      <c r="AD303" s="115">
        <f t="shared" si="9"/>
        <v>0</v>
      </c>
    </row>
    <row r="304">
      <c r="A304" s="101"/>
      <c r="B304" s="121"/>
      <c r="C304" s="122"/>
      <c r="D304" s="103" t="str">
        <f t="shared" si="1"/>
        <v/>
      </c>
      <c r="E304" s="103" t="str">
        <f t="shared" si="2"/>
        <v/>
      </c>
      <c r="F304" s="103" t="str">
        <f t="shared" si="3"/>
        <v/>
      </c>
      <c r="G304" s="122"/>
      <c r="H304" s="103">
        <f t="shared" si="4"/>
        <v>0</v>
      </c>
      <c r="I304" s="108">
        <f t="shared" si="5"/>
        <v>0</v>
      </c>
      <c r="J304" s="114"/>
      <c r="K304" s="83"/>
      <c r="L304" s="83"/>
      <c r="M304" s="83"/>
      <c r="N304" s="83"/>
      <c r="O304" s="83"/>
      <c r="P304" s="83"/>
      <c r="Q304" s="83"/>
      <c r="R304" s="83"/>
      <c r="S304" s="83"/>
      <c r="T304" s="83"/>
      <c r="U304" s="83"/>
      <c r="V304" s="83"/>
      <c r="W304" s="83"/>
      <c r="X304" s="83"/>
      <c r="Y304" s="83"/>
      <c r="Z304" s="114"/>
      <c r="AA304" s="115" t="str">
        <f t="shared" si="6"/>
        <v/>
      </c>
      <c r="AB304" s="115">
        <f t="shared" si="7"/>
        <v>0</v>
      </c>
      <c r="AC304" s="115">
        <f t="shared" si="8"/>
        <v>0</v>
      </c>
      <c r="AD304" s="115">
        <f t="shared" si="9"/>
        <v>0</v>
      </c>
    </row>
    <row r="305">
      <c r="A305" s="101"/>
      <c r="B305" s="121"/>
      <c r="C305" s="122"/>
      <c r="D305" s="103" t="str">
        <f t="shared" si="1"/>
        <v/>
      </c>
      <c r="E305" s="103" t="str">
        <f t="shared" si="2"/>
        <v/>
      </c>
      <c r="F305" s="103" t="str">
        <f t="shared" si="3"/>
        <v/>
      </c>
      <c r="G305" s="122"/>
      <c r="H305" s="103">
        <f t="shared" si="4"/>
        <v>0</v>
      </c>
      <c r="I305" s="108">
        <f t="shared" si="5"/>
        <v>0</v>
      </c>
      <c r="J305" s="114"/>
      <c r="K305" s="83"/>
      <c r="L305" s="83"/>
      <c r="M305" s="83"/>
      <c r="N305" s="83"/>
      <c r="O305" s="83"/>
      <c r="P305" s="83"/>
      <c r="Q305" s="83"/>
      <c r="R305" s="83"/>
      <c r="S305" s="83"/>
      <c r="T305" s="83"/>
      <c r="U305" s="83"/>
      <c r="V305" s="83"/>
      <c r="W305" s="83"/>
      <c r="X305" s="83"/>
      <c r="Y305" s="83"/>
      <c r="Z305" s="114"/>
      <c r="AA305" s="115" t="str">
        <f t="shared" si="6"/>
        <v/>
      </c>
      <c r="AB305" s="115">
        <f t="shared" si="7"/>
        <v>0</v>
      </c>
      <c r="AC305" s="115">
        <f t="shared" si="8"/>
        <v>0</v>
      </c>
      <c r="AD305" s="115">
        <f t="shared" si="9"/>
        <v>0</v>
      </c>
    </row>
    <row r="306">
      <c r="A306" s="101"/>
      <c r="B306" s="121"/>
      <c r="C306" s="122"/>
      <c r="D306" s="103" t="str">
        <f t="shared" si="1"/>
        <v/>
      </c>
      <c r="E306" s="103" t="str">
        <f t="shared" si="2"/>
        <v/>
      </c>
      <c r="F306" s="103" t="str">
        <f t="shared" si="3"/>
        <v/>
      </c>
      <c r="G306" s="122"/>
      <c r="H306" s="103">
        <f t="shared" si="4"/>
        <v>0</v>
      </c>
      <c r="I306" s="108">
        <f t="shared" si="5"/>
        <v>0</v>
      </c>
      <c r="J306" s="114"/>
      <c r="K306" s="83"/>
      <c r="L306" s="83"/>
      <c r="M306" s="83"/>
      <c r="N306" s="83"/>
      <c r="O306" s="83"/>
      <c r="P306" s="83"/>
      <c r="Q306" s="83"/>
      <c r="R306" s="83"/>
      <c r="S306" s="83"/>
      <c r="T306" s="83"/>
      <c r="U306" s="83"/>
      <c r="V306" s="83"/>
      <c r="W306" s="83"/>
      <c r="X306" s="83"/>
      <c r="Y306" s="83"/>
      <c r="Z306" s="114"/>
      <c r="AA306" s="115" t="str">
        <f t="shared" si="6"/>
        <v/>
      </c>
      <c r="AB306" s="115">
        <f t="shared" si="7"/>
        <v>0</v>
      </c>
      <c r="AC306" s="115">
        <f t="shared" si="8"/>
        <v>0</v>
      </c>
      <c r="AD306" s="115">
        <f t="shared" si="9"/>
        <v>0</v>
      </c>
    </row>
    <row r="307">
      <c r="A307" s="101"/>
      <c r="B307" s="121"/>
      <c r="C307" s="122"/>
      <c r="D307" s="103" t="str">
        <f t="shared" si="1"/>
        <v/>
      </c>
      <c r="E307" s="103" t="str">
        <f t="shared" si="2"/>
        <v/>
      </c>
      <c r="F307" s="103" t="str">
        <f t="shared" si="3"/>
        <v/>
      </c>
      <c r="G307" s="122"/>
      <c r="H307" s="103">
        <f t="shared" si="4"/>
        <v>0</v>
      </c>
      <c r="I307" s="108">
        <f t="shared" si="5"/>
        <v>0</v>
      </c>
      <c r="J307" s="114"/>
      <c r="K307" s="83"/>
      <c r="L307" s="83"/>
      <c r="M307" s="83"/>
      <c r="N307" s="83"/>
      <c r="O307" s="83"/>
      <c r="P307" s="83"/>
      <c r="Q307" s="83"/>
      <c r="R307" s="83"/>
      <c r="S307" s="83"/>
      <c r="T307" s="83"/>
      <c r="U307" s="83"/>
      <c r="V307" s="83"/>
      <c r="W307" s="83"/>
      <c r="X307" s="83"/>
      <c r="Y307" s="83"/>
      <c r="Z307" s="114"/>
      <c r="AA307" s="115" t="str">
        <f t="shared" si="6"/>
        <v/>
      </c>
      <c r="AB307" s="115">
        <f t="shared" si="7"/>
        <v>0</v>
      </c>
      <c r="AC307" s="115">
        <f t="shared" si="8"/>
        <v>0</v>
      </c>
      <c r="AD307" s="115">
        <f t="shared" si="9"/>
        <v>0</v>
      </c>
    </row>
    <row r="308">
      <c r="A308" s="101"/>
      <c r="B308" s="121"/>
      <c r="C308" s="122"/>
      <c r="D308" s="103" t="str">
        <f t="shared" si="1"/>
        <v/>
      </c>
      <c r="E308" s="103" t="str">
        <f t="shared" si="2"/>
        <v/>
      </c>
      <c r="F308" s="103" t="str">
        <f t="shared" si="3"/>
        <v/>
      </c>
      <c r="G308" s="122"/>
      <c r="H308" s="103">
        <f t="shared" si="4"/>
        <v>0</v>
      </c>
      <c r="I308" s="108">
        <f t="shared" si="5"/>
        <v>0</v>
      </c>
      <c r="J308" s="114"/>
      <c r="K308" s="83"/>
      <c r="L308" s="83"/>
      <c r="M308" s="83"/>
      <c r="N308" s="83"/>
      <c r="O308" s="83"/>
      <c r="P308" s="83"/>
      <c r="Q308" s="83"/>
      <c r="R308" s="83"/>
      <c r="S308" s="83"/>
      <c r="T308" s="83"/>
      <c r="U308" s="83"/>
      <c r="V308" s="83"/>
      <c r="W308" s="83"/>
      <c r="X308" s="83"/>
      <c r="Y308" s="83"/>
      <c r="Z308" s="114"/>
      <c r="AA308" s="115" t="str">
        <f t="shared" si="6"/>
        <v/>
      </c>
      <c r="AB308" s="115">
        <f t="shared" si="7"/>
        <v>0</v>
      </c>
      <c r="AC308" s="115">
        <f t="shared" si="8"/>
        <v>0</v>
      </c>
      <c r="AD308" s="115">
        <f t="shared" si="9"/>
        <v>0</v>
      </c>
    </row>
    <row r="309">
      <c r="A309" s="101"/>
      <c r="B309" s="121"/>
      <c r="C309" s="122"/>
      <c r="D309" s="103" t="str">
        <f t="shared" si="1"/>
        <v/>
      </c>
      <c r="E309" s="103" t="str">
        <f t="shared" si="2"/>
        <v/>
      </c>
      <c r="F309" s="103" t="str">
        <f t="shared" si="3"/>
        <v/>
      </c>
      <c r="G309" s="122"/>
      <c r="H309" s="103">
        <f t="shared" si="4"/>
        <v>0</v>
      </c>
      <c r="I309" s="108">
        <f t="shared" si="5"/>
        <v>0</v>
      </c>
      <c r="J309" s="114"/>
      <c r="K309" s="83"/>
      <c r="L309" s="83"/>
      <c r="M309" s="83"/>
      <c r="N309" s="83"/>
      <c r="O309" s="83"/>
      <c r="P309" s="83"/>
      <c r="Q309" s="83"/>
      <c r="R309" s="83"/>
      <c r="S309" s="83"/>
      <c r="T309" s="83"/>
      <c r="U309" s="83"/>
      <c r="V309" s="83"/>
      <c r="W309" s="83"/>
      <c r="X309" s="83"/>
      <c r="Y309" s="83"/>
      <c r="Z309" s="114"/>
      <c r="AA309" s="115" t="str">
        <f t="shared" si="6"/>
        <v/>
      </c>
      <c r="AB309" s="115">
        <f t="shared" si="7"/>
        <v>0</v>
      </c>
      <c r="AC309" s="115">
        <f t="shared" si="8"/>
        <v>0</v>
      </c>
      <c r="AD309" s="115">
        <f t="shared" si="9"/>
        <v>0</v>
      </c>
    </row>
    <row r="310">
      <c r="A310" s="101"/>
      <c r="B310" s="121"/>
      <c r="C310" s="122"/>
      <c r="D310" s="103" t="str">
        <f t="shared" si="1"/>
        <v/>
      </c>
      <c r="E310" s="103" t="str">
        <f t="shared" si="2"/>
        <v/>
      </c>
      <c r="F310" s="103" t="str">
        <f t="shared" si="3"/>
        <v/>
      </c>
      <c r="G310" s="122"/>
      <c r="H310" s="103">
        <f t="shared" si="4"/>
        <v>0</v>
      </c>
      <c r="I310" s="108">
        <f t="shared" si="5"/>
        <v>0</v>
      </c>
      <c r="J310" s="114"/>
      <c r="K310" s="83"/>
      <c r="L310" s="83"/>
      <c r="M310" s="83"/>
      <c r="N310" s="83"/>
      <c r="O310" s="83"/>
      <c r="P310" s="83"/>
      <c r="Q310" s="83"/>
      <c r="R310" s="83"/>
      <c r="S310" s="83"/>
      <c r="T310" s="83"/>
      <c r="U310" s="83"/>
      <c r="V310" s="83"/>
      <c r="W310" s="83"/>
      <c r="X310" s="83"/>
      <c r="Y310" s="83"/>
      <c r="Z310" s="114"/>
      <c r="AA310" s="115" t="str">
        <f t="shared" si="6"/>
        <v/>
      </c>
      <c r="AB310" s="115">
        <f t="shared" si="7"/>
        <v>0</v>
      </c>
      <c r="AC310" s="115">
        <f t="shared" si="8"/>
        <v>0</v>
      </c>
      <c r="AD310" s="115">
        <f t="shared" si="9"/>
        <v>0</v>
      </c>
    </row>
    <row r="311">
      <c r="A311" s="101"/>
      <c r="B311" s="121"/>
      <c r="C311" s="122"/>
      <c r="D311" s="103" t="str">
        <f t="shared" si="1"/>
        <v/>
      </c>
      <c r="E311" s="103" t="str">
        <f t="shared" si="2"/>
        <v/>
      </c>
      <c r="F311" s="103" t="str">
        <f t="shared" si="3"/>
        <v/>
      </c>
      <c r="G311" s="122"/>
      <c r="H311" s="103">
        <f t="shared" si="4"/>
        <v>0</v>
      </c>
      <c r="I311" s="108">
        <f t="shared" si="5"/>
        <v>0</v>
      </c>
      <c r="J311" s="114"/>
      <c r="K311" s="83"/>
      <c r="L311" s="83"/>
      <c r="M311" s="83"/>
      <c r="N311" s="83"/>
      <c r="O311" s="83"/>
      <c r="P311" s="83"/>
      <c r="Q311" s="83"/>
      <c r="R311" s="83"/>
      <c r="S311" s="83"/>
      <c r="T311" s="83"/>
      <c r="U311" s="83"/>
      <c r="V311" s="83"/>
      <c r="W311" s="83"/>
      <c r="X311" s="83"/>
      <c r="Y311" s="83"/>
      <c r="Z311" s="114"/>
      <c r="AA311" s="115" t="str">
        <f t="shared" si="6"/>
        <v/>
      </c>
      <c r="AB311" s="115">
        <f t="shared" si="7"/>
        <v>0</v>
      </c>
      <c r="AC311" s="115">
        <f t="shared" si="8"/>
        <v>0</v>
      </c>
      <c r="AD311" s="115">
        <f t="shared" si="9"/>
        <v>0</v>
      </c>
    </row>
    <row r="312">
      <c r="A312" s="101"/>
      <c r="B312" s="121"/>
      <c r="C312" s="122"/>
      <c r="D312" s="103" t="str">
        <f t="shared" si="1"/>
        <v/>
      </c>
      <c r="E312" s="103" t="str">
        <f t="shared" si="2"/>
        <v/>
      </c>
      <c r="F312" s="103" t="str">
        <f t="shared" si="3"/>
        <v/>
      </c>
      <c r="G312" s="122"/>
      <c r="H312" s="103">
        <f t="shared" si="4"/>
        <v>0</v>
      </c>
      <c r="I312" s="108">
        <f t="shared" si="5"/>
        <v>0</v>
      </c>
      <c r="J312" s="114"/>
      <c r="K312" s="83"/>
      <c r="L312" s="83"/>
      <c r="M312" s="83"/>
      <c r="N312" s="83"/>
      <c r="O312" s="83"/>
      <c r="P312" s="83"/>
      <c r="Q312" s="83"/>
      <c r="R312" s="83"/>
      <c r="S312" s="83"/>
      <c r="T312" s="83"/>
      <c r="U312" s="83"/>
      <c r="V312" s="83"/>
      <c r="W312" s="83"/>
      <c r="X312" s="83"/>
      <c r="Y312" s="83"/>
      <c r="Z312" s="114"/>
      <c r="AA312" s="115" t="str">
        <f t="shared" si="6"/>
        <v/>
      </c>
      <c r="AB312" s="115">
        <f t="shared" si="7"/>
        <v>0</v>
      </c>
      <c r="AC312" s="115">
        <f t="shared" si="8"/>
        <v>0</v>
      </c>
      <c r="AD312" s="115">
        <f t="shared" si="9"/>
        <v>0</v>
      </c>
    </row>
    <row r="313">
      <c r="A313" s="101"/>
      <c r="B313" s="121"/>
      <c r="C313" s="122"/>
      <c r="D313" s="103" t="str">
        <f t="shared" si="1"/>
        <v/>
      </c>
      <c r="E313" s="103" t="str">
        <f t="shared" si="2"/>
        <v/>
      </c>
      <c r="F313" s="103" t="str">
        <f t="shared" si="3"/>
        <v/>
      </c>
      <c r="G313" s="122"/>
      <c r="H313" s="103">
        <f t="shared" si="4"/>
        <v>0</v>
      </c>
      <c r="I313" s="108">
        <f t="shared" si="5"/>
        <v>0</v>
      </c>
      <c r="J313" s="114"/>
      <c r="K313" s="83"/>
      <c r="L313" s="83"/>
      <c r="M313" s="83"/>
      <c r="N313" s="83"/>
      <c r="O313" s="83"/>
      <c r="P313" s="83"/>
      <c r="Q313" s="83"/>
      <c r="R313" s="83"/>
      <c r="S313" s="83"/>
      <c r="T313" s="83"/>
      <c r="U313" s="83"/>
      <c r="V313" s="83"/>
      <c r="W313" s="83"/>
      <c r="X313" s="83"/>
      <c r="Y313" s="83"/>
      <c r="Z313" s="114"/>
      <c r="AA313" s="115" t="str">
        <f t="shared" si="6"/>
        <v/>
      </c>
      <c r="AB313" s="115">
        <f t="shared" si="7"/>
        <v>0</v>
      </c>
      <c r="AC313" s="115">
        <f t="shared" si="8"/>
        <v>0</v>
      </c>
      <c r="AD313" s="115">
        <f t="shared" si="9"/>
        <v>0</v>
      </c>
    </row>
    <row r="314">
      <c r="A314" s="101"/>
      <c r="B314" s="121"/>
      <c r="C314" s="122"/>
      <c r="D314" s="103" t="str">
        <f t="shared" si="1"/>
        <v/>
      </c>
      <c r="E314" s="103" t="str">
        <f t="shared" si="2"/>
        <v/>
      </c>
      <c r="F314" s="103" t="str">
        <f t="shared" si="3"/>
        <v/>
      </c>
      <c r="G314" s="122"/>
      <c r="H314" s="103">
        <f t="shared" si="4"/>
        <v>0</v>
      </c>
      <c r="I314" s="108">
        <f t="shared" si="5"/>
        <v>0</v>
      </c>
      <c r="J314" s="114"/>
      <c r="K314" s="83"/>
      <c r="L314" s="83"/>
      <c r="M314" s="83"/>
      <c r="N314" s="83"/>
      <c r="O314" s="83"/>
      <c r="P314" s="83"/>
      <c r="Q314" s="83"/>
      <c r="R314" s="83"/>
      <c r="S314" s="83"/>
      <c r="T314" s="83"/>
      <c r="U314" s="83"/>
      <c r="V314" s="83"/>
      <c r="W314" s="83"/>
      <c r="X314" s="83"/>
      <c r="Y314" s="83"/>
      <c r="Z314" s="114"/>
      <c r="AA314" s="115" t="str">
        <f t="shared" si="6"/>
        <v/>
      </c>
      <c r="AB314" s="115">
        <f t="shared" si="7"/>
        <v>0</v>
      </c>
      <c r="AC314" s="115">
        <f t="shared" si="8"/>
        <v>0</v>
      </c>
      <c r="AD314" s="115">
        <f t="shared" si="9"/>
        <v>0</v>
      </c>
    </row>
    <row r="315">
      <c r="A315" s="101"/>
      <c r="B315" s="121"/>
      <c r="C315" s="122"/>
      <c r="D315" s="103" t="str">
        <f t="shared" si="1"/>
        <v/>
      </c>
      <c r="E315" s="103" t="str">
        <f t="shared" si="2"/>
        <v/>
      </c>
      <c r="F315" s="103" t="str">
        <f t="shared" si="3"/>
        <v/>
      </c>
      <c r="G315" s="122"/>
      <c r="H315" s="103">
        <f t="shared" si="4"/>
        <v>0</v>
      </c>
      <c r="I315" s="108">
        <f t="shared" si="5"/>
        <v>0</v>
      </c>
      <c r="J315" s="114"/>
      <c r="K315" s="83"/>
      <c r="L315" s="83"/>
      <c r="M315" s="83"/>
      <c r="N315" s="83"/>
      <c r="O315" s="83"/>
      <c r="P315" s="83"/>
      <c r="Q315" s="83"/>
      <c r="R315" s="83"/>
      <c r="S315" s="83"/>
      <c r="T315" s="83"/>
      <c r="U315" s="83"/>
      <c r="V315" s="83"/>
      <c r="W315" s="83"/>
      <c r="X315" s="83"/>
      <c r="Y315" s="83"/>
      <c r="Z315" s="114"/>
      <c r="AA315" s="115" t="str">
        <f t="shared" si="6"/>
        <v/>
      </c>
      <c r="AB315" s="115">
        <f t="shared" si="7"/>
        <v>0</v>
      </c>
      <c r="AC315" s="115">
        <f t="shared" si="8"/>
        <v>0</v>
      </c>
      <c r="AD315" s="115">
        <f t="shared" si="9"/>
        <v>0</v>
      </c>
    </row>
    <row r="316">
      <c r="A316" s="101"/>
      <c r="B316" s="121"/>
      <c r="C316" s="122"/>
      <c r="D316" s="103" t="str">
        <f t="shared" si="1"/>
        <v/>
      </c>
      <c r="E316" s="103" t="str">
        <f t="shared" si="2"/>
        <v/>
      </c>
      <c r="F316" s="103" t="str">
        <f t="shared" si="3"/>
        <v/>
      </c>
      <c r="G316" s="122"/>
      <c r="H316" s="103">
        <f t="shared" si="4"/>
        <v>0</v>
      </c>
      <c r="I316" s="108">
        <f t="shared" si="5"/>
        <v>0</v>
      </c>
      <c r="J316" s="114"/>
      <c r="K316" s="83"/>
      <c r="L316" s="83"/>
      <c r="M316" s="83"/>
      <c r="N316" s="83"/>
      <c r="O316" s="83"/>
      <c r="P316" s="83"/>
      <c r="Q316" s="83"/>
      <c r="R316" s="83"/>
      <c r="S316" s="83"/>
      <c r="T316" s="83"/>
      <c r="U316" s="83"/>
      <c r="V316" s="83"/>
      <c r="W316" s="83"/>
      <c r="X316" s="83"/>
      <c r="Y316" s="83"/>
      <c r="Z316" s="114"/>
      <c r="AA316" s="115" t="str">
        <f t="shared" si="6"/>
        <v/>
      </c>
      <c r="AB316" s="115">
        <f t="shared" si="7"/>
        <v>0</v>
      </c>
      <c r="AC316" s="115">
        <f t="shared" si="8"/>
        <v>0</v>
      </c>
      <c r="AD316" s="115">
        <f t="shared" si="9"/>
        <v>0</v>
      </c>
    </row>
    <row r="317">
      <c r="A317" s="101"/>
      <c r="B317" s="121"/>
      <c r="C317" s="122"/>
      <c r="D317" s="103" t="str">
        <f t="shared" si="1"/>
        <v/>
      </c>
      <c r="E317" s="103" t="str">
        <f t="shared" si="2"/>
        <v/>
      </c>
      <c r="F317" s="103" t="str">
        <f t="shared" si="3"/>
        <v/>
      </c>
      <c r="G317" s="122"/>
      <c r="H317" s="103">
        <f t="shared" si="4"/>
        <v>0</v>
      </c>
      <c r="I317" s="108">
        <f t="shared" si="5"/>
        <v>0</v>
      </c>
      <c r="J317" s="114"/>
      <c r="K317" s="83"/>
      <c r="L317" s="83"/>
      <c r="M317" s="83"/>
      <c r="N317" s="83"/>
      <c r="O317" s="83"/>
      <c r="P317" s="83"/>
      <c r="Q317" s="83"/>
      <c r="R317" s="83"/>
      <c r="S317" s="83"/>
      <c r="T317" s="83"/>
      <c r="U317" s="83"/>
      <c r="V317" s="83"/>
      <c r="W317" s="83"/>
      <c r="X317" s="83"/>
      <c r="Y317" s="83"/>
      <c r="Z317" s="114"/>
      <c r="AA317" s="115" t="str">
        <f t="shared" si="6"/>
        <v/>
      </c>
      <c r="AB317" s="115">
        <f t="shared" si="7"/>
        <v>0</v>
      </c>
      <c r="AC317" s="115">
        <f t="shared" si="8"/>
        <v>0</v>
      </c>
      <c r="AD317" s="115">
        <f t="shared" si="9"/>
        <v>0</v>
      </c>
    </row>
    <row r="318">
      <c r="A318" s="101"/>
      <c r="B318" s="121"/>
      <c r="C318" s="122"/>
      <c r="D318" s="103" t="str">
        <f t="shared" si="1"/>
        <v/>
      </c>
      <c r="E318" s="103" t="str">
        <f t="shared" si="2"/>
        <v/>
      </c>
      <c r="F318" s="103" t="str">
        <f t="shared" si="3"/>
        <v/>
      </c>
      <c r="G318" s="122"/>
      <c r="H318" s="103">
        <f t="shared" si="4"/>
        <v>0</v>
      </c>
      <c r="I318" s="108">
        <f t="shared" si="5"/>
        <v>0</v>
      </c>
      <c r="J318" s="114"/>
      <c r="K318" s="83"/>
      <c r="L318" s="83"/>
      <c r="M318" s="83"/>
      <c r="N318" s="83"/>
      <c r="O318" s="83"/>
      <c r="P318" s="83"/>
      <c r="Q318" s="83"/>
      <c r="R318" s="83"/>
      <c r="S318" s="83"/>
      <c r="T318" s="83"/>
      <c r="U318" s="83"/>
      <c r="V318" s="83"/>
      <c r="W318" s="83"/>
      <c r="X318" s="83"/>
      <c r="Y318" s="83"/>
      <c r="Z318" s="114"/>
      <c r="AA318" s="115" t="str">
        <f t="shared" si="6"/>
        <v/>
      </c>
      <c r="AB318" s="115">
        <f t="shared" si="7"/>
        <v>0</v>
      </c>
      <c r="AC318" s="115">
        <f t="shared" si="8"/>
        <v>0</v>
      </c>
      <c r="AD318" s="115">
        <f t="shared" si="9"/>
        <v>0</v>
      </c>
    </row>
    <row r="319">
      <c r="A319" s="101"/>
      <c r="B319" s="121"/>
      <c r="C319" s="122"/>
      <c r="D319" s="103" t="str">
        <f t="shared" si="1"/>
        <v/>
      </c>
      <c r="E319" s="103" t="str">
        <f t="shared" si="2"/>
        <v/>
      </c>
      <c r="F319" s="103" t="str">
        <f t="shared" si="3"/>
        <v/>
      </c>
      <c r="G319" s="122"/>
      <c r="H319" s="103">
        <f t="shared" si="4"/>
        <v>0</v>
      </c>
      <c r="I319" s="108">
        <f t="shared" si="5"/>
        <v>0</v>
      </c>
      <c r="J319" s="114"/>
      <c r="K319" s="83"/>
      <c r="L319" s="83"/>
      <c r="M319" s="83"/>
      <c r="N319" s="83"/>
      <c r="O319" s="83"/>
      <c r="P319" s="83"/>
      <c r="Q319" s="83"/>
      <c r="R319" s="83"/>
      <c r="S319" s="83"/>
      <c r="T319" s="83"/>
      <c r="U319" s="83"/>
      <c r="V319" s="83"/>
      <c r="W319" s="83"/>
      <c r="X319" s="83"/>
      <c r="Y319" s="83"/>
      <c r="Z319" s="114"/>
      <c r="AA319" s="115" t="str">
        <f t="shared" si="6"/>
        <v/>
      </c>
      <c r="AB319" s="115">
        <f t="shared" si="7"/>
        <v>0</v>
      </c>
      <c r="AC319" s="115">
        <f t="shared" si="8"/>
        <v>0</v>
      </c>
      <c r="AD319" s="115">
        <f t="shared" si="9"/>
        <v>0</v>
      </c>
    </row>
    <row r="320">
      <c r="A320" s="101"/>
      <c r="B320" s="121"/>
      <c r="C320" s="122"/>
      <c r="D320" s="103" t="str">
        <f t="shared" si="1"/>
        <v/>
      </c>
      <c r="E320" s="103" t="str">
        <f t="shared" si="2"/>
        <v/>
      </c>
      <c r="F320" s="103" t="str">
        <f t="shared" si="3"/>
        <v/>
      </c>
      <c r="G320" s="122"/>
      <c r="H320" s="103">
        <f t="shared" si="4"/>
        <v>0</v>
      </c>
      <c r="I320" s="108">
        <f t="shared" si="5"/>
        <v>0</v>
      </c>
      <c r="J320" s="114"/>
      <c r="K320" s="83"/>
      <c r="L320" s="83"/>
      <c r="M320" s="83"/>
      <c r="N320" s="83"/>
      <c r="O320" s="83"/>
      <c r="P320" s="83"/>
      <c r="Q320" s="83"/>
      <c r="R320" s="83"/>
      <c r="S320" s="83"/>
      <c r="T320" s="83"/>
      <c r="U320" s="83"/>
      <c r="V320" s="83"/>
      <c r="W320" s="83"/>
      <c r="X320" s="83"/>
      <c r="Y320" s="83"/>
      <c r="Z320" s="114"/>
      <c r="AA320" s="115" t="str">
        <f t="shared" si="6"/>
        <v/>
      </c>
      <c r="AB320" s="115">
        <f t="shared" si="7"/>
        <v>0</v>
      </c>
      <c r="AC320" s="115">
        <f t="shared" si="8"/>
        <v>0</v>
      </c>
      <c r="AD320" s="115">
        <f t="shared" si="9"/>
        <v>0</v>
      </c>
    </row>
    <row r="321">
      <c r="A321" s="101"/>
      <c r="B321" s="121"/>
      <c r="C321" s="122"/>
      <c r="D321" s="103" t="str">
        <f t="shared" si="1"/>
        <v/>
      </c>
      <c r="E321" s="103" t="str">
        <f t="shared" si="2"/>
        <v/>
      </c>
      <c r="F321" s="103" t="str">
        <f t="shared" si="3"/>
        <v/>
      </c>
      <c r="G321" s="122"/>
      <c r="H321" s="103">
        <f t="shared" si="4"/>
        <v>0</v>
      </c>
      <c r="I321" s="108">
        <f t="shared" si="5"/>
        <v>0</v>
      </c>
      <c r="J321" s="114"/>
      <c r="K321" s="83"/>
      <c r="L321" s="83"/>
      <c r="M321" s="83"/>
      <c r="N321" s="83"/>
      <c r="O321" s="83"/>
      <c r="P321" s="83"/>
      <c r="Q321" s="83"/>
      <c r="R321" s="83"/>
      <c r="S321" s="83"/>
      <c r="T321" s="83"/>
      <c r="U321" s="83"/>
      <c r="V321" s="83"/>
      <c r="W321" s="83"/>
      <c r="X321" s="83"/>
      <c r="Y321" s="83"/>
      <c r="Z321" s="114"/>
      <c r="AA321" s="115" t="str">
        <f t="shared" si="6"/>
        <v/>
      </c>
      <c r="AB321" s="115">
        <f t="shared" si="7"/>
        <v>0</v>
      </c>
      <c r="AC321" s="115">
        <f t="shared" si="8"/>
        <v>0</v>
      </c>
      <c r="AD321" s="115">
        <f t="shared" si="9"/>
        <v>0</v>
      </c>
    </row>
    <row r="322">
      <c r="A322" s="101"/>
      <c r="B322" s="121"/>
      <c r="C322" s="122"/>
      <c r="D322" s="103" t="str">
        <f t="shared" si="1"/>
        <v/>
      </c>
      <c r="E322" s="103" t="str">
        <f t="shared" si="2"/>
        <v/>
      </c>
      <c r="F322" s="103" t="str">
        <f t="shared" si="3"/>
        <v/>
      </c>
      <c r="G322" s="122"/>
      <c r="H322" s="103">
        <f t="shared" si="4"/>
        <v>0</v>
      </c>
      <c r="I322" s="108">
        <f t="shared" si="5"/>
        <v>0</v>
      </c>
      <c r="J322" s="114"/>
      <c r="K322" s="83"/>
      <c r="L322" s="83"/>
      <c r="M322" s="83"/>
      <c r="N322" s="83"/>
      <c r="O322" s="83"/>
      <c r="P322" s="83"/>
      <c r="Q322" s="83"/>
      <c r="R322" s="83"/>
      <c r="S322" s="83"/>
      <c r="T322" s="83"/>
      <c r="U322" s="83"/>
      <c r="V322" s="83"/>
      <c r="W322" s="83"/>
      <c r="X322" s="83"/>
      <c r="Y322" s="83"/>
      <c r="Z322" s="114"/>
      <c r="AA322" s="115" t="str">
        <f t="shared" si="6"/>
        <v/>
      </c>
      <c r="AB322" s="115">
        <f t="shared" si="7"/>
        <v>0</v>
      </c>
      <c r="AC322" s="115">
        <f t="shared" si="8"/>
        <v>0</v>
      </c>
      <c r="AD322" s="115">
        <f t="shared" si="9"/>
        <v>0</v>
      </c>
    </row>
    <row r="323">
      <c r="A323" s="101"/>
      <c r="B323" s="121"/>
      <c r="C323" s="122"/>
      <c r="D323" s="103" t="str">
        <f t="shared" si="1"/>
        <v/>
      </c>
      <c r="E323" s="103" t="str">
        <f t="shared" si="2"/>
        <v/>
      </c>
      <c r="F323" s="103" t="str">
        <f t="shared" si="3"/>
        <v/>
      </c>
      <c r="G323" s="122"/>
      <c r="H323" s="103">
        <f t="shared" si="4"/>
        <v>0</v>
      </c>
      <c r="I323" s="108">
        <f t="shared" si="5"/>
        <v>0</v>
      </c>
      <c r="J323" s="114"/>
      <c r="K323" s="83"/>
      <c r="L323" s="83"/>
      <c r="M323" s="83"/>
      <c r="N323" s="83"/>
      <c r="O323" s="83"/>
      <c r="P323" s="83"/>
      <c r="Q323" s="83"/>
      <c r="R323" s="83"/>
      <c r="S323" s="83"/>
      <c r="T323" s="83"/>
      <c r="U323" s="83"/>
      <c r="V323" s="83"/>
      <c r="W323" s="83"/>
      <c r="X323" s="83"/>
      <c r="Y323" s="83"/>
      <c r="Z323" s="114"/>
      <c r="AA323" s="115" t="str">
        <f t="shared" si="6"/>
        <v/>
      </c>
      <c r="AB323" s="115">
        <f t="shared" si="7"/>
        <v>0</v>
      </c>
      <c r="AC323" s="115">
        <f t="shared" si="8"/>
        <v>0</v>
      </c>
      <c r="AD323" s="115">
        <f t="shared" si="9"/>
        <v>0</v>
      </c>
    </row>
    <row r="324">
      <c r="A324" s="101"/>
      <c r="B324" s="121"/>
      <c r="C324" s="122"/>
      <c r="D324" s="103" t="str">
        <f t="shared" si="1"/>
        <v/>
      </c>
      <c r="E324" s="103" t="str">
        <f t="shared" si="2"/>
        <v/>
      </c>
      <c r="F324" s="103" t="str">
        <f t="shared" si="3"/>
        <v/>
      </c>
      <c r="G324" s="122"/>
      <c r="H324" s="103">
        <f t="shared" si="4"/>
        <v>0</v>
      </c>
      <c r="I324" s="108">
        <f t="shared" si="5"/>
        <v>0</v>
      </c>
      <c r="J324" s="114"/>
      <c r="K324" s="83"/>
      <c r="L324" s="83"/>
      <c r="M324" s="83"/>
      <c r="N324" s="83"/>
      <c r="O324" s="83"/>
      <c r="P324" s="83"/>
      <c r="Q324" s="83"/>
      <c r="R324" s="83"/>
      <c r="S324" s="83"/>
      <c r="T324" s="83"/>
      <c r="U324" s="83"/>
      <c r="V324" s="83"/>
      <c r="W324" s="83"/>
      <c r="X324" s="83"/>
      <c r="Y324" s="83"/>
      <c r="Z324" s="114"/>
      <c r="AA324" s="115" t="str">
        <f t="shared" si="6"/>
        <v/>
      </c>
      <c r="AB324" s="115">
        <f t="shared" si="7"/>
        <v>0</v>
      </c>
      <c r="AC324" s="115">
        <f t="shared" si="8"/>
        <v>0</v>
      </c>
      <c r="AD324" s="115">
        <f t="shared" si="9"/>
        <v>0</v>
      </c>
    </row>
    <row r="325">
      <c r="A325" s="101"/>
      <c r="B325" s="121"/>
      <c r="C325" s="122"/>
      <c r="D325" s="103" t="str">
        <f t="shared" si="1"/>
        <v/>
      </c>
      <c r="E325" s="103" t="str">
        <f t="shared" si="2"/>
        <v/>
      </c>
      <c r="F325" s="103" t="str">
        <f t="shared" si="3"/>
        <v/>
      </c>
      <c r="G325" s="122"/>
      <c r="H325" s="103">
        <f t="shared" si="4"/>
        <v>0</v>
      </c>
      <c r="I325" s="108">
        <f t="shared" si="5"/>
        <v>0</v>
      </c>
      <c r="J325" s="114"/>
      <c r="K325" s="83"/>
      <c r="L325" s="83"/>
      <c r="M325" s="83"/>
      <c r="N325" s="83"/>
      <c r="O325" s="83"/>
      <c r="P325" s="83"/>
      <c r="Q325" s="83"/>
      <c r="R325" s="83"/>
      <c r="S325" s="83"/>
      <c r="T325" s="83"/>
      <c r="U325" s="83"/>
      <c r="V325" s="83"/>
      <c r="W325" s="83"/>
      <c r="X325" s="83"/>
      <c r="Y325" s="83"/>
      <c r="Z325" s="114"/>
      <c r="AA325" s="115" t="str">
        <f t="shared" si="6"/>
        <v/>
      </c>
      <c r="AB325" s="115">
        <f t="shared" si="7"/>
        <v>0</v>
      </c>
      <c r="AC325" s="115">
        <f t="shared" si="8"/>
        <v>0</v>
      </c>
      <c r="AD325" s="115">
        <f t="shared" si="9"/>
        <v>0</v>
      </c>
    </row>
    <row r="326">
      <c r="A326" s="101"/>
      <c r="B326" s="121"/>
      <c r="C326" s="122"/>
      <c r="D326" s="103" t="str">
        <f t="shared" si="1"/>
        <v/>
      </c>
      <c r="E326" s="103" t="str">
        <f t="shared" si="2"/>
        <v/>
      </c>
      <c r="F326" s="103" t="str">
        <f t="shared" si="3"/>
        <v/>
      </c>
      <c r="G326" s="122"/>
      <c r="H326" s="103">
        <f t="shared" si="4"/>
        <v>0</v>
      </c>
      <c r="I326" s="108">
        <f t="shared" si="5"/>
        <v>0</v>
      </c>
      <c r="J326" s="114"/>
      <c r="K326" s="83"/>
      <c r="L326" s="83"/>
      <c r="M326" s="83"/>
      <c r="N326" s="83"/>
      <c r="O326" s="83"/>
      <c r="P326" s="83"/>
      <c r="Q326" s="83"/>
      <c r="R326" s="83"/>
      <c r="S326" s="83"/>
      <c r="T326" s="83"/>
      <c r="U326" s="83"/>
      <c r="V326" s="83"/>
      <c r="W326" s="83"/>
      <c r="X326" s="83"/>
      <c r="Y326" s="83"/>
      <c r="Z326" s="114"/>
      <c r="AA326" s="115" t="str">
        <f t="shared" si="6"/>
        <v/>
      </c>
      <c r="AB326" s="115">
        <f t="shared" si="7"/>
        <v>0</v>
      </c>
      <c r="AC326" s="115">
        <f t="shared" si="8"/>
        <v>0</v>
      </c>
      <c r="AD326" s="115">
        <f t="shared" si="9"/>
        <v>0</v>
      </c>
    </row>
    <row r="327">
      <c r="A327" s="101"/>
      <c r="B327" s="121"/>
      <c r="C327" s="122"/>
      <c r="D327" s="103" t="str">
        <f t="shared" si="1"/>
        <v/>
      </c>
      <c r="E327" s="103" t="str">
        <f t="shared" si="2"/>
        <v/>
      </c>
      <c r="F327" s="103" t="str">
        <f t="shared" si="3"/>
        <v/>
      </c>
      <c r="G327" s="122"/>
      <c r="H327" s="103">
        <f t="shared" si="4"/>
        <v>0</v>
      </c>
      <c r="I327" s="108">
        <f t="shared" si="5"/>
        <v>0</v>
      </c>
      <c r="J327" s="114"/>
      <c r="K327" s="83"/>
      <c r="L327" s="83"/>
      <c r="M327" s="83"/>
      <c r="N327" s="83"/>
      <c r="O327" s="83"/>
      <c r="P327" s="83"/>
      <c r="Q327" s="83"/>
      <c r="R327" s="83"/>
      <c r="S327" s="83"/>
      <c r="T327" s="83"/>
      <c r="U327" s="83"/>
      <c r="V327" s="83"/>
      <c r="W327" s="83"/>
      <c r="X327" s="83"/>
      <c r="Y327" s="83"/>
      <c r="Z327" s="114"/>
      <c r="AA327" s="115" t="str">
        <f t="shared" si="6"/>
        <v/>
      </c>
      <c r="AB327" s="115">
        <f t="shared" si="7"/>
        <v>0</v>
      </c>
      <c r="AC327" s="115">
        <f t="shared" si="8"/>
        <v>0</v>
      </c>
      <c r="AD327" s="115">
        <f t="shared" si="9"/>
        <v>0</v>
      </c>
    </row>
    <row r="328">
      <c r="A328" s="101"/>
      <c r="B328" s="121"/>
      <c r="C328" s="122"/>
      <c r="D328" s="103" t="str">
        <f t="shared" si="1"/>
        <v/>
      </c>
      <c r="E328" s="103" t="str">
        <f t="shared" si="2"/>
        <v/>
      </c>
      <c r="F328" s="103" t="str">
        <f t="shared" si="3"/>
        <v/>
      </c>
      <c r="G328" s="122"/>
      <c r="H328" s="103">
        <f t="shared" si="4"/>
        <v>0</v>
      </c>
      <c r="I328" s="108">
        <f t="shared" si="5"/>
        <v>0</v>
      </c>
      <c r="J328" s="114"/>
      <c r="K328" s="83"/>
      <c r="L328" s="83"/>
      <c r="M328" s="83"/>
      <c r="N328" s="83"/>
      <c r="O328" s="83"/>
      <c r="P328" s="83"/>
      <c r="Q328" s="83"/>
      <c r="R328" s="83"/>
      <c r="S328" s="83"/>
      <c r="T328" s="83"/>
      <c r="U328" s="83"/>
      <c r="V328" s="83"/>
      <c r="W328" s="83"/>
      <c r="X328" s="83"/>
      <c r="Y328" s="83"/>
      <c r="Z328" s="114"/>
      <c r="AA328" s="115" t="str">
        <f t="shared" si="6"/>
        <v/>
      </c>
      <c r="AB328" s="115">
        <f t="shared" si="7"/>
        <v>0</v>
      </c>
      <c r="AC328" s="115">
        <f t="shared" si="8"/>
        <v>0</v>
      </c>
      <c r="AD328" s="115">
        <f t="shared" si="9"/>
        <v>0</v>
      </c>
    </row>
    <row r="329">
      <c r="A329" s="101"/>
      <c r="B329" s="121"/>
      <c r="C329" s="122"/>
      <c r="D329" s="103" t="str">
        <f t="shared" si="1"/>
        <v/>
      </c>
      <c r="E329" s="103" t="str">
        <f t="shared" si="2"/>
        <v/>
      </c>
      <c r="F329" s="103" t="str">
        <f t="shared" si="3"/>
        <v/>
      </c>
      <c r="G329" s="122"/>
      <c r="H329" s="103">
        <f t="shared" si="4"/>
        <v>0</v>
      </c>
      <c r="I329" s="108">
        <f t="shared" si="5"/>
        <v>0</v>
      </c>
      <c r="J329" s="114"/>
      <c r="K329" s="83"/>
      <c r="L329" s="83"/>
      <c r="M329" s="83"/>
      <c r="N329" s="83"/>
      <c r="O329" s="83"/>
      <c r="P329" s="83"/>
      <c r="Q329" s="83"/>
      <c r="R329" s="83"/>
      <c r="S329" s="83"/>
      <c r="T329" s="83"/>
      <c r="U329" s="83"/>
      <c r="V329" s="83"/>
      <c r="W329" s="83"/>
      <c r="X329" s="83"/>
      <c r="Y329" s="83"/>
      <c r="Z329" s="114"/>
      <c r="AA329" s="115" t="str">
        <f t="shared" si="6"/>
        <v/>
      </c>
      <c r="AB329" s="115">
        <f t="shared" si="7"/>
        <v>0</v>
      </c>
      <c r="AC329" s="115">
        <f t="shared" si="8"/>
        <v>0</v>
      </c>
      <c r="AD329" s="115">
        <f t="shared" si="9"/>
        <v>0</v>
      </c>
    </row>
    <row r="330">
      <c r="A330" s="101"/>
      <c r="B330" s="121"/>
      <c r="C330" s="122"/>
      <c r="D330" s="103" t="str">
        <f t="shared" si="1"/>
        <v/>
      </c>
      <c r="E330" s="103" t="str">
        <f t="shared" si="2"/>
        <v/>
      </c>
      <c r="F330" s="103" t="str">
        <f t="shared" si="3"/>
        <v/>
      </c>
      <c r="G330" s="122"/>
      <c r="H330" s="103">
        <f t="shared" si="4"/>
        <v>0</v>
      </c>
      <c r="I330" s="108">
        <f t="shared" si="5"/>
        <v>0</v>
      </c>
      <c r="J330" s="114"/>
      <c r="K330" s="83"/>
      <c r="L330" s="83"/>
      <c r="M330" s="83"/>
      <c r="N330" s="83"/>
      <c r="O330" s="83"/>
      <c r="P330" s="83"/>
      <c r="Q330" s="83"/>
      <c r="R330" s="83"/>
      <c r="S330" s="83"/>
      <c r="T330" s="83"/>
      <c r="U330" s="83"/>
      <c r="V330" s="83"/>
      <c r="W330" s="83"/>
      <c r="X330" s="83"/>
      <c r="Y330" s="83"/>
      <c r="Z330" s="114"/>
      <c r="AA330" s="115" t="str">
        <f t="shared" si="6"/>
        <v/>
      </c>
      <c r="AB330" s="115">
        <f t="shared" si="7"/>
        <v>0</v>
      </c>
      <c r="AC330" s="115">
        <f t="shared" si="8"/>
        <v>0</v>
      </c>
      <c r="AD330" s="115">
        <f t="shared" si="9"/>
        <v>0</v>
      </c>
    </row>
    <row r="331">
      <c r="A331" s="101"/>
      <c r="B331" s="121"/>
      <c r="C331" s="122"/>
      <c r="D331" s="103" t="str">
        <f t="shared" si="1"/>
        <v/>
      </c>
      <c r="E331" s="103" t="str">
        <f t="shared" si="2"/>
        <v/>
      </c>
      <c r="F331" s="103" t="str">
        <f t="shared" si="3"/>
        <v/>
      </c>
      <c r="G331" s="122"/>
      <c r="H331" s="103">
        <f t="shared" si="4"/>
        <v>0</v>
      </c>
      <c r="I331" s="108">
        <f t="shared" si="5"/>
        <v>0</v>
      </c>
      <c r="J331" s="114"/>
      <c r="K331" s="83"/>
      <c r="L331" s="83"/>
      <c r="M331" s="83"/>
      <c r="N331" s="83"/>
      <c r="O331" s="83"/>
      <c r="P331" s="83"/>
      <c r="Q331" s="83"/>
      <c r="R331" s="83"/>
      <c r="S331" s="83"/>
      <c r="T331" s="83"/>
      <c r="U331" s="83"/>
      <c r="V331" s="83"/>
      <c r="W331" s="83"/>
      <c r="X331" s="83"/>
      <c r="Y331" s="83"/>
      <c r="Z331" s="114"/>
      <c r="AA331" s="115" t="str">
        <f t="shared" si="6"/>
        <v/>
      </c>
      <c r="AB331" s="115">
        <f t="shared" si="7"/>
        <v>0</v>
      </c>
      <c r="AC331" s="115">
        <f t="shared" si="8"/>
        <v>0</v>
      </c>
      <c r="AD331" s="115">
        <f t="shared" si="9"/>
        <v>0</v>
      </c>
    </row>
    <row r="332">
      <c r="A332" s="101"/>
      <c r="B332" s="121"/>
      <c r="C332" s="122"/>
      <c r="D332" s="103" t="str">
        <f t="shared" si="1"/>
        <v/>
      </c>
      <c r="E332" s="103" t="str">
        <f t="shared" si="2"/>
        <v/>
      </c>
      <c r="F332" s="103" t="str">
        <f t="shared" si="3"/>
        <v/>
      </c>
      <c r="G332" s="122"/>
      <c r="H332" s="103">
        <f t="shared" si="4"/>
        <v>0</v>
      </c>
      <c r="I332" s="108">
        <f t="shared" si="5"/>
        <v>0</v>
      </c>
      <c r="J332" s="114"/>
      <c r="K332" s="83"/>
      <c r="L332" s="83"/>
      <c r="M332" s="83"/>
      <c r="N332" s="83"/>
      <c r="O332" s="83"/>
      <c r="P332" s="83"/>
      <c r="Q332" s="83"/>
      <c r="R332" s="83"/>
      <c r="S332" s="83"/>
      <c r="T332" s="83"/>
      <c r="U332" s="83"/>
      <c r="V332" s="83"/>
      <c r="W332" s="83"/>
      <c r="X332" s="83"/>
      <c r="Y332" s="83"/>
      <c r="Z332" s="114"/>
      <c r="AA332" s="115" t="str">
        <f t="shared" si="6"/>
        <v/>
      </c>
      <c r="AB332" s="115">
        <f t="shared" si="7"/>
        <v>0</v>
      </c>
      <c r="AC332" s="115">
        <f t="shared" si="8"/>
        <v>0</v>
      </c>
      <c r="AD332" s="115">
        <f t="shared" si="9"/>
        <v>0</v>
      </c>
    </row>
    <row r="333">
      <c r="A333" s="101"/>
      <c r="B333" s="121"/>
      <c r="C333" s="122"/>
      <c r="D333" s="103" t="str">
        <f t="shared" si="1"/>
        <v/>
      </c>
      <c r="E333" s="103" t="str">
        <f t="shared" si="2"/>
        <v/>
      </c>
      <c r="F333" s="103" t="str">
        <f t="shared" si="3"/>
        <v/>
      </c>
      <c r="G333" s="122"/>
      <c r="H333" s="103">
        <f t="shared" si="4"/>
        <v>0</v>
      </c>
      <c r="I333" s="108">
        <f t="shared" si="5"/>
        <v>0</v>
      </c>
      <c r="J333" s="114"/>
      <c r="K333" s="83"/>
      <c r="L333" s="83"/>
      <c r="M333" s="83"/>
      <c r="N333" s="83"/>
      <c r="O333" s="83"/>
      <c r="P333" s="83"/>
      <c r="Q333" s="83"/>
      <c r="R333" s="83"/>
      <c r="S333" s="83"/>
      <c r="T333" s="83"/>
      <c r="U333" s="83"/>
      <c r="V333" s="83"/>
      <c r="W333" s="83"/>
      <c r="X333" s="83"/>
      <c r="Y333" s="83"/>
      <c r="Z333" s="114"/>
      <c r="AA333" s="115" t="str">
        <f t="shared" si="6"/>
        <v/>
      </c>
      <c r="AB333" s="115">
        <f t="shared" si="7"/>
        <v>0</v>
      </c>
      <c r="AC333" s="115">
        <f t="shared" si="8"/>
        <v>0</v>
      </c>
      <c r="AD333" s="115">
        <f t="shared" si="9"/>
        <v>0</v>
      </c>
    </row>
    <row r="334">
      <c r="A334" s="101"/>
      <c r="B334" s="121"/>
      <c r="C334" s="122"/>
      <c r="D334" s="103" t="str">
        <f t="shared" si="1"/>
        <v/>
      </c>
      <c r="E334" s="103" t="str">
        <f t="shared" si="2"/>
        <v/>
      </c>
      <c r="F334" s="103" t="str">
        <f t="shared" si="3"/>
        <v/>
      </c>
      <c r="G334" s="122"/>
      <c r="H334" s="103">
        <f t="shared" si="4"/>
        <v>0</v>
      </c>
      <c r="I334" s="108">
        <f t="shared" si="5"/>
        <v>0</v>
      </c>
      <c r="J334" s="114"/>
      <c r="K334" s="83"/>
      <c r="L334" s="83"/>
      <c r="M334" s="83"/>
      <c r="N334" s="83"/>
      <c r="O334" s="83"/>
      <c r="P334" s="83"/>
      <c r="Q334" s="83"/>
      <c r="R334" s="83"/>
      <c r="S334" s="83"/>
      <c r="T334" s="83"/>
      <c r="U334" s="83"/>
      <c r="V334" s="83"/>
      <c r="W334" s="83"/>
      <c r="X334" s="83"/>
      <c r="Y334" s="83"/>
      <c r="Z334" s="114"/>
      <c r="AA334" s="115" t="str">
        <f t="shared" si="6"/>
        <v/>
      </c>
      <c r="AB334" s="115">
        <f t="shared" si="7"/>
        <v>0</v>
      </c>
      <c r="AC334" s="115">
        <f t="shared" si="8"/>
        <v>0</v>
      </c>
      <c r="AD334" s="115">
        <f t="shared" si="9"/>
        <v>0</v>
      </c>
    </row>
    <row r="335">
      <c r="A335" s="101"/>
      <c r="B335" s="121"/>
      <c r="C335" s="122"/>
      <c r="D335" s="103" t="str">
        <f t="shared" si="1"/>
        <v/>
      </c>
      <c r="E335" s="103" t="str">
        <f t="shared" si="2"/>
        <v/>
      </c>
      <c r="F335" s="103" t="str">
        <f t="shared" si="3"/>
        <v/>
      </c>
      <c r="G335" s="122"/>
      <c r="H335" s="103">
        <f t="shared" si="4"/>
        <v>0</v>
      </c>
      <c r="I335" s="108">
        <f t="shared" si="5"/>
        <v>0</v>
      </c>
      <c r="J335" s="114"/>
      <c r="K335" s="83"/>
      <c r="L335" s="83"/>
      <c r="M335" s="83"/>
      <c r="N335" s="83"/>
      <c r="O335" s="83"/>
      <c r="P335" s="83"/>
      <c r="Q335" s="83"/>
      <c r="R335" s="83"/>
      <c r="S335" s="83"/>
      <c r="T335" s="83"/>
      <c r="U335" s="83"/>
      <c r="V335" s="83"/>
      <c r="W335" s="83"/>
      <c r="X335" s="83"/>
      <c r="Y335" s="83"/>
      <c r="Z335" s="114"/>
      <c r="AA335" s="115" t="str">
        <f t="shared" si="6"/>
        <v/>
      </c>
      <c r="AB335" s="115">
        <f t="shared" si="7"/>
        <v>0</v>
      </c>
      <c r="AC335" s="115">
        <f t="shared" si="8"/>
        <v>0</v>
      </c>
      <c r="AD335" s="115">
        <f t="shared" si="9"/>
        <v>0</v>
      </c>
    </row>
    <row r="336">
      <c r="A336" s="101"/>
      <c r="B336" s="121"/>
      <c r="C336" s="122"/>
      <c r="D336" s="103" t="str">
        <f t="shared" si="1"/>
        <v/>
      </c>
      <c r="E336" s="103" t="str">
        <f t="shared" si="2"/>
        <v/>
      </c>
      <c r="F336" s="103" t="str">
        <f t="shared" si="3"/>
        <v/>
      </c>
      <c r="G336" s="122"/>
      <c r="H336" s="103">
        <f t="shared" si="4"/>
        <v>0</v>
      </c>
      <c r="I336" s="108">
        <f t="shared" si="5"/>
        <v>0</v>
      </c>
      <c r="J336" s="114"/>
      <c r="K336" s="83"/>
      <c r="L336" s="83"/>
      <c r="M336" s="83"/>
      <c r="N336" s="83"/>
      <c r="O336" s="83"/>
      <c r="P336" s="83"/>
      <c r="Q336" s="83"/>
      <c r="R336" s="83"/>
      <c r="S336" s="83"/>
      <c r="T336" s="83"/>
      <c r="U336" s="83"/>
      <c r="V336" s="83"/>
      <c r="W336" s="83"/>
      <c r="X336" s="83"/>
      <c r="Y336" s="83"/>
      <c r="Z336" s="114"/>
      <c r="AA336" s="115" t="str">
        <f t="shared" si="6"/>
        <v/>
      </c>
      <c r="AB336" s="115">
        <f t="shared" si="7"/>
        <v>0</v>
      </c>
      <c r="AC336" s="115">
        <f t="shared" si="8"/>
        <v>0</v>
      </c>
      <c r="AD336" s="115">
        <f t="shared" si="9"/>
        <v>0</v>
      </c>
    </row>
    <row r="337">
      <c r="A337" s="101"/>
      <c r="B337" s="121"/>
      <c r="C337" s="122"/>
      <c r="D337" s="103" t="str">
        <f t="shared" si="1"/>
        <v/>
      </c>
      <c r="E337" s="103" t="str">
        <f t="shared" si="2"/>
        <v/>
      </c>
      <c r="F337" s="103" t="str">
        <f t="shared" si="3"/>
        <v/>
      </c>
      <c r="G337" s="122"/>
      <c r="H337" s="103">
        <f t="shared" si="4"/>
        <v>0</v>
      </c>
      <c r="I337" s="108">
        <f t="shared" si="5"/>
        <v>0</v>
      </c>
      <c r="J337" s="114"/>
      <c r="K337" s="83"/>
      <c r="L337" s="83"/>
      <c r="M337" s="83"/>
      <c r="N337" s="83"/>
      <c r="O337" s="83"/>
      <c r="P337" s="83"/>
      <c r="Q337" s="83"/>
      <c r="R337" s="83"/>
      <c r="S337" s="83"/>
      <c r="T337" s="83"/>
      <c r="U337" s="83"/>
      <c r="V337" s="83"/>
      <c r="W337" s="83"/>
      <c r="X337" s="83"/>
      <c r="Y337" s="83"/>
      <c r="Z337" s="114"/>
      <c r="AA337" s="115" t="str">
        <f t="shared" si="6"/>
        <v/>
      </c>
      <c r="AB337" s="115">
        <f t="shared" si="7"/>
        <v>0</v>
      </c>
      <c r="AC337" s="115">
        <f t="shared" si="8"/>
        <v>0</v>
      </c>
      <c r="AD337" s="115">
        <f t="shared" si="9"/>
        <v>0</v>
      </c>
    </row>
    <row r="338">
      <c r="A338" s="101"/>
      <c r="B338" s="121"/>
      <c r="C338" s="122"/>
      <c r="D338" s="103" t="str">
        <f t="shared" si="1"/>
        <v/>
      </c>
      <c r="E338" s="103" t="str">
        <f t="shared" si="2"/>
        <v/>
      </c>
      <c r="F338" s="103" t="str">
        <f t="shared" si="3"/>
        <v/>
      </c>
      <c r="G338" s="122"/>
      <c r="H338" s="103">
        <f t="shared" si="4"/>
        <v>0</v>
      </c>
      <c r="I338" s="108">
        <f t="shared" si="5"/>
        <v>0</v>
      </c>
      <c r="J338" s="114"/>
      <c r="K338" s="83"/>
      <c r="L338" s="83"/>
      <c r="M338" s="83"/>
      <c r="N338" s="83"/>
      <c r="O338" s="83"/>
      <c r="P338" s="83"/>
      <c r="Q338" s="83"/>
      <c r="R338" s="83"/>
      <c r="S338" s="83"/>
      <c r="T338" s="83"/>
      <c r="U338" s="83"/>
      <c r="V338" s="83"/>
      <c r="W338" s="83"/>
      <c r="X338" s="83"/>
      <c r="Y338" s="83"/>
      <c r="Z338" s="114"/>
      <c r="AA338" s="115" t="str">
        <f t="shared" si="6"/>
        <v/>
      </c>
      <c r="AB338" s="115">
        <f t="shared" si="7"/>
        <v>0</v>
      </c>
      <c r="AC338" s="115">
        <f t="shared" si="8"/>
        <v>0</v>
      </c>
      <c r="AD338" s="115">
        <f t="shared" si="9"/>
        <v>0</v>
      </c>
    </row>
    <row r="339">
      <c r="A339" s="101"/>
      <c r="B339" s="121"/>
      <c r="C339" s="122"/>
      <c r="D339" s="103" t="str">
        <f t="shared" si="1"/>
        <v/>
      </c>
      <c r="E339" s="103" t="str">
        <f t="shared" si="2"/>
        <v/>
      </c>
      <c r="F339" s="103" t="str">
        <f t="shared" si="3"/>
        <v/>
      </c>
      <c r="G339" s="122"/>
      <c r="H339" s="103">
        <f t="shared" si="4"/>
        <v>0</v>
      </c>
      <c r="I339" s="108">
        <f t="shared" si="5"/>
        <v>0</v>
      </c>
      <c r="J339" s="114"/>
      <c r="K339" s="83"/>
      <c r="L339" s="83"/>
      <c r="M339" s="83"/>
      <c r="N339" s="83"/>
      <c r="O339" s="83"/>
      <c r="P339" s="83"/>
      <c r="Q339" s="83"/>
      <c r="R339" s="83"/>
      <c r="S339" s="83"/>
      <c r="T339" s="83"/>
      <c r="U339" s="83"/>
      <c r="V339" s="83"/>
      <c r="W339" s="83"/>
      <c r="X339" s="83"/>
      <c r="Y339" s="83"/>
      <c r="Z339" s="114"/>
      <c r="AA339" s="115" t="str">
        <f t="shared" si="6"/>
        <v/>
      </c>
      <c r="AB339" s="115">
        <f t="shared" si="7"/>
        <v>0</v>
      </c>
      <c r="AC339" s="115">
        <f t="shared" si="8"/>
        <v>0</v>
      </c>
      <c r="AD339" s="115">
        <f t="shared" si="9"/>
        <v>0</v>
      </c>
    </row>
    <row r="340">
      <c r="A340" s="101"/>
      <c r="B340" s="121"/>
      <c r="C340" s="122"/>
      <c r="D340" s="103" t="str">
        <f t="shared" si="1"/>
        <v/>
      </c>
      <c r="E340" s="103" t="str">
        <f t="shared" si="2"/>
        <v/>
      </c>
      <c r="F340" s="103" t="str">
        <f t="shared" si="3"/>
        <v/>
      </c>
      <c r="G340" s="122"/>
      <c r="H340" s="103">
        <f t="shared" si="4"/>
        <v>0</v>
      </c>
      <c r="I340" s="108">
        <f t="shared" si="5"/>
        <v>0</v>
      </c>
      <c r="J340" s="114"/>
      <c r="K340" s="83"/>
      <c r="L340" s="83"/>
      <c r="M340" s="83"/>
      <c r="N340" s="83"/>
      <c r="O340" s="83"/>
      <c r="P340" s="83"/>
      <c r="Q340" s="83"/>
      <c r="R340" s="83"/>
      <c r="S340" s="83"/>
      <c r="T340" s="83"/>
      <c r="U340" s="83"/>
      <c r="V340" s="83"/>
      <c r="W340" s="83"/>
      <c r="X340" s="83"/>
      <c r="Y340" s="83"/>
      <c r="Z340" s="114"/>
      <c r="AA340" s="115" t="str">
        <f t="shared" si="6"/>
        <v/>
      </c>
      <c r="AB340" s="115">
        <f t="shared" si="7"/>
        <v>0</v>
      </c>
      <c r="AC340" s="115">
        <f t="shared" si="8"/>
        <v>0</v>
      </c>
      <c r="AD340" s="115">
        <f t="shared" si="9"/>
        <v>0</v>
      </c>
    </row>
    <row r="341">
      <c r="A341" s="101"/>
      <c r="B341" s="121"/>
      <c r="C341" s="122"/>
      <c r="D341" s="103" t="str">
        <f t="shared" si="1"/>
        <v/>
      </c>
      <c r="E341" s="103" t="str">
        <f t="shared" si="2"/>
        <v/>
      </c>
      <c r="F341" s="103" t="str">
        <f t="shared" si="3"/>
        <v/>
      </c>
      <c r="G341" s="122"/>
      <c r="H341" s="103">
        <f t="shared" si="4"/>
        <v>0</v>
      </c>
      <c r="I341" s="108">
        <f t="shared" si="5"/>
        <v>0</v>
      </c>
      <c r="J341" s="114"/>
      <c r="K341" s="83"/>
      <c r="L341" s="83"/>
      <c r="M341" s="83"/>
      <c r="N341" s="83"/>
      <c r="O341" s="83"/>
      <c r="P341" s="83"/>
      <c r="Q341" s="83"/>
      <c r="R341" s="83"/>
      <c r="S341" s="83"/>
      <c r="T341" s="83"/>
      <c r="U341" s="83"/>
      <c r="V341" s="83"/>
      <c r="W341" s="83"/>
      <c r="X341" s="83"/>
      <c r="Y341" s="83"/>
      <c r="Z341" s="114"/>
      <c r="AA341" s="115" t="str">
        <f t="shared" si="6"/>
        <v/>
      </c>
      <c r="AB341" s="115">
        <f t="shared" si="7"/>
        <v>0</v>
      </c>
      <c r="AC341" s="115">
        <f t="shared" si="8"/>
        <v>0</v>
      </c>
      <c r="AD341" s="115">
        <f t="shared" si="9"/>
        <v>0</v>
      </c>
    </row>
    <row r="342">
      <c r="A342" s="101"/>
      <c r="B342" s="121"/>
      <c r="C342" s="122"/>
      <c r="D342" s="103" t="str">
        <f t="shared" si="1"/>
        <v/>
      </c>
      <c r="E342" s="103" t="str">
        <f t="shared" si="2"/>
        <v/>
      </c>
      <c r="F342" s="103" t="str">
        <f t="shared" si="3"/>
        <v/>
      </c>
      <c r="G342" s="122"/>
      <c r="H342" s="103">
        <f t="shared" si="4"/>
        <v>0</v>
      </c>
      <c r="I342" s="108">
        <f t="shared" si="5"/>
        <v>0</v>
      </c>
      <c r="J342" s="114"/>
      <c r="K342" s="83"/>
      <c r="L342" s="83"/>
      <c r="M342" s="83"/>
      <c r="N342" s="83"/>
      <c r="O342" s="83"/>
      <c r="P342" s="83"/>
      <c r="Q342" s="83"/>
      <c r="R342" s="83"/>
      <c r="S342" s="83"/>
      <c r="T342" s="83"/>
      <c r="U342" s="83"/>
      <c r="V342" s="83"/>
      <c r="W342" s="83"/>
      <c r="X342" s="83"/>
      <c r="Y342" s="83"/>
      <c r="Z342" s="114"/>
      <c r="AA342" s="115" t="str">
        <f t="shared" si="6"/>
        <v/>
      </c>
      <c r="AB342" s="115">
        <f t="shared" si="7"/>
        <v>0</v>
      </c>
      <c r="AC342" s="115">
        <f t="shared" si="8"/>
        <v>0</v>
      </c>
      <c r="AD342" s="115">
        <f t="shared" si="9"/>
        <v>0</v>
      </c>
    </row>
    <row r="343">
      <c r="A343" s="101"/>
      <c r="B343" s="121"/>
      <c r="C343" s="122"/>
      <c r="D343" s="103" t="str">
        <f t="shared" si="1"/>
        <v/>
      </c>
      <c r="E343" s="103" t="str">
        <f t="shared" si="2"/>
        <v/>
      </c>
      <c r="F343" s="103" t="str">
        <f t="shared" si="3"/>
        <v/>
      </c>
      <c r="G343" s="122"/>
      <c r="H343" s="103">
        <f t="shared" si="4"/>
        <v>0</v>
      </c>
      <c r="I343" s="108">
        <f t="shared" si="5"/>
        <v>0</v>
      </c>
      <c r="J343" s="114"/>
      <c r="K343" s="83"/>
      <c r="L343" s="83"/>
      <c r="M343" s="83"/>
      <c r="N343" s="83"/>
      <c r="O343" s="83"/>
      <c r="P343" s="83"/>
      <c r="Q343" s="83"/>
      <c r="R343" s="83"/>
      <c r="S343" s="83"/>
      <c r="T343" s="83"/>
      <c r="U343" s="83"/>
      <c r="V343" s="83"/>
      <c r="W343" s="83"/>
      <c r="X343" s="83"/>
      <c r="Y343" s="83"/>
      <c r="Z343" s="114"/>
      <c r="AA343" s="115" t="str">
        <f t="shared" si="6"/>
        <v/>
      </c>
      <c r="AB343" s="115">
        <f t="shared" si="7"/>
        <v>0</v>
      </c>
      <c r="AC343" s="115">
        <f t="shared" si="8"/>
        <v>0</v>
      </c>
      <c r="AD343" s="115">
        <f t="shared" si="9"/>
        <v>0</v>
      </c>
    </row>
    <row r="344">
      <c r="A344" s="101"/>
      <c r="B344" s="121"/>
      <c r="C344" s="122"/>
      <c r="D344" s="103" t="str">
        <f t="shared" si="1"/>
        <v/>
      </c>
      <c r="E344" s="103" t="str">
        <f t="shared" si="2"/>
        <v/>
      </c>
      <c r="F344" s="103" t="str">
        <f t="shared" si="3"/>
        <v/>
      </c>
      <c r="G344" s="122"/>
      <c r="H344" s="103">
        <f t="shared" si="4"/>
        <v>0</v>
      </c>
      <c r="I344" s="108">
        <f t="shared" si="5"/>
        <v>0</v>
      </c>
      <c r="J344" s="114"/>
      <c r="K344" s="83"/>
      <c r="L344" s="83"/>
      <c r="M344" s="83"/>
      <c r="N344" s="83"/>
      <c r="O344" s="83"/>
      <c r="P344" s="83"/>
      <c r="Q344" s="83"/>
      <c r="R344" s="83"/>
      <c r="S344" s="83"/>
      <c r="T344" s="83"/>
      <c r="U344" s="83"/>
      <c r="V344" s="83"/>
      <c r="W344" s="83"/>
      <c r="X344" s="83"/>
      <c r="Y344" s="83"/>
      <c r="Z344" s="114"/>
      <c r="AA344" s="115" t="str">
        <f t="shared" si="6"/>
        <v/>
      </c>
      <c r="AB344" s="115">
        <f t="shared" si="7"/>
        <v>0</v>
      </c>
      <c r="AC344" s="115">
        <f t="shared" si="8"/>
        <v>0</v>
      </c>
      <c r="AD344" s="115">
        <f t="shared" si="9"/>
        <v>0</v>
      </c>
    </row>
    <row r="345">
      <c r="A345" s="101"/>
      <c r="B345" s="121"/>
      <c r="C345" s="122"/>
      <c r="D345" s="103" t="str">
        <f t="shared" si="1"/>
        <v/>
      </c>
      <c r="E345" s="103" t="str">
        <f t="shared" si="2"/>
        <v/>
      </c>
      <c r="F345" s="103" t="str">
        <f t="shared" si="3"/>
        <v/>
      </c>
      <c r="G345" s="122"/>
      <c r="H345" s="103">
        <f t="shared" si="4"/>
        <v>0</v>
      </c>
      <c r="I345" s="108">
        <f t="shared" si="5"/>
        <v>0</v>
      </c>
      <c r="J345" s="114"/>
      <c r="K345" s="83"/>
      <c r="L345" s="83"/>
      <c r="M345" s="83"/>
      <c r="N345" s="83"/>
      <c r="O345" s="83"/>
      <c r="P345" s="83"/>
      <c r="Q345" s="83"/>
      <c r="R345" s="83"/>
      <c r="S345" s="83"/>
      <c r="T345" s="83"/>
      <c r="U345" s="83"/>
      <c r="V345" s="83"/>
      <c r="W345" s="83"/>
      <c r="X345" s="83"/>
      <c r="Y345" s="83"/>
      <c r="Z345" s="114"/>
      <c r="AA345" s="115" t="str">
        <f t="shared" si="6"/>
        <v/>
      </c>
      <c r="AB345" s="115">
        <f t="shared" si="7"/>
        <v>0</v>
      </c>
      <c r="AC345" s="115">
        <f t="shared" si="8"/>
        <v>0</v>
      </c>
      <c r="AD345" s="115">
        <f t="shared" si="9"/>
        <v>0</v>
      </c>
    </row>
    <row r="346">
      <c r="A346" s="101"/>
      <c r="B346" s="121"/>
      <c r="C346" s="122"/>
      <c r="D346" s="103" t="str">
        <f t="shared" si="1"/>
        <v/>
      </c>
      <c r="E346" s="103" t="str">
        <f t="shared" si="2"/>
        <v/>
      </c>
      <c r="F346" s="103" t="str">
        <f t="shared" si="3"/>
        <v/>
      </c>
      <c r="G346" s="122"/>
      <c r="H346" s="103">
        <f t="shared" si="4"/>
        <v>0</v>
      </c>
      <c r="I346" s="108">
        <f t="shared" si="5"/>
        <v>0</v>
      </c>
      <c r="J346" s="114"/>
      <c r="K346" s="83"/>
      <c r="L346" s="83"/>
      <c r="M346" s="83"/>
      <c r="N346" s="83"/>
      <c r="O346" s="83"/>
      <c r="P346" s="83"/>
      <c r="Q346" s="83"/>
      <c r="R346" s="83"/>
      <c r="S346" s="83"/>
      <c r="T346" s="83"/>
      <c r="U346" s="83"/>
      <c r="V346" s="83"/>
      <c r="W346" s="83"/>
      <c r="X346" s="83"/>
      <c r="Y346" s="83"/>
      <c r="Z346" s="114"/>
      <c r="AA346" s="115" t="str">
        <f t="shared" si="6"/>
        <v/>
      </c>
      <c r="AB346" s="115">
        <f t="shared" si="7"/>
        <v>0</v>
      </c>
      <c r="AC346" s="115">
        <f t="shared" si="8"/>
        <v>0</v>
      </c>
      <c r="AD346" s="115">
        <f t="shared" si="9"/>
        <v>0</v>
      </c>
    </row>
    <row r="347">
      <c r="A347" s="101"/>
      <c r="B347" s="121"/>
      <c r="C347" s="122"/>
      <c r="D347" s="103" t="str">
        <f t="shared" si="1"/>
        <v/>
      </c>
      <c r="E347" s="103" t="str">
        <f t="shared" si="2"/>
        <v/>
      </c>
      <c r="F347" s="103" t="str">
        <f t="shared" si="3"/>
        <v/>
      </c>
      <c r="G347" s="122"/>
      <c r="H347" s="103">
        <f t="shared" si="4"/>
        <v>0</v>
      </c>
      <c r="I347" s="108">
        <f t="shared" si="5"/>
        <v>0</v>
      </c>
      <c r="J347" s="114"/>
      <c r="K347" s="83"/>
      <c r="L347" s="83"/>
      <c r="M347" s="83"/>
      <c r="N347" s="83"/>
      <c r="O347" s="83"/>
      <c r="P347" s="83"/>
      <c r="Q347" s="83"/>
      <c r="R347" s="83"/>
      <c r="S347" s="83"/>
      <c r="T347" s="83"/>
      <c r="U347" s="83"/>
      <c r="V347" s="83"/>
      <c r="W347" s="83"/>
      <c r="X347" s="83"/>
      <c r="Y347" s="83"/>
      <c r="Z347" s="114"/>
      <c r="AA347" s="115" t="str">
        <f t="shared" si="6"/>
        <v/>
      </c>
      <c r="AB347" s="115">
        <f t="shared" si="7"/>
        <v>0</v>
      </c>
      <c r="AC347" s="115">
        <f t="shared" si="8"/>
        <v>0</v>
      </c>
      <c r="AD347" s="115">
        <f t="shared" si="9"/>
        <v>0</v>
      </c>
    </row>
    <row r="348">
      <c r="A348" s="101"/>
      <c r="B348" s="121"/>
      <c r="C348" s="122"/>
      <c r="D348" s="103" t="str">
        <f t="shared" si="1"/>
        <v/>
      </c>
      <c r="E348" s="103" t="str">
        <f t="shared" si="2"/>
        <v/>
      </c>
      <c r="F348" s="103" t="str">
        <f t="shared" si="3"/>
        <v/>
      </c>
      <c r="G348" s="122"/>
      <c r="H348" s="103">
        <f t="shared" si="4"/>
        <v>0</v>
      </c>
      <c r="I348" s="108">
        <f t="shared" si="5"/>
        <v>0</v>
      </c>
      <c r="J348" s="114"/>
      <c r="K348" s="83"/>
      <c r="L348" s="83"/>
      <c r="M348" s="83"/>
      <c r="N348" s="83"/>
      <c r="O348" s="83"/>
      <c r="P348" s="83"/>
      <c r="Q348" s="83"/>
      <c r="R348" s="83"/>
      <c r="S348" s="83"/>
      <c r="T348" s="83"/>
      <c r="U348" s="83"/>
      <c r="V348" s="83"/>
      <c r="W348" s="83"/>
      <c r="X348" s="83"/>
      <c r="Y348" s="83"/>
      <c r="Z348" s="114"/>
      <c r="AA348" s="115" t="str">
        <f t="shared" si="6"/>
        <v/>
      </c>
      <c r="AB348" s="115">
        <f t="shared" si="7"/>
        <v>0</v>
      </c>
      <c r="AC348" s="115">
        <f t="shared" si="8"/>
        <v>0</v>
      </c>
      <c r="AD348" s="115">
        <f t="shared" si="9"/>
        <v>0</v>
      </c>
    </row>
    <row r="349">
      <c r="A349" s="101"/>
      <c r="B349" s="121"/>
      <c r="C349" s="122"/>
      <c r="D349" s="103" t="str">
        <f t="shared" si="1"/>
        <v/>
      </c>
      <c r="E349" s="103" t="str">
        <f t="shared" si="2"/>
        <v/>
      </c>
      <c r="F349" s="103" t="str">
        <f t="shared" si="3"/>
        <v/>
      </c>
      <c r="G349" s="122"/>
      <c r="H349" s="103">
        <f t="shared" si="4"/>
        <v>0</v>
      </c>
      <c r="I349" s="108">
        <f t="shared" si="5"/>
        <v>0</v>
      </c>
      <c r="J349" s="114"/>
      <c r="K349" s="83"/>
      <c r="L349" s="83"/>
      <c r="M349" s="83"/>
      <c r="N349" s="83"/>
      <c r="O349" s="83"/>
      <c r="P349" s="83"/>
      <c r="Q349" s="83"/>
      <c r="R349" s="83"/>
      <c r="S349" s="83"/>
      <c r="T349" s="83"/>
      <c r="U349" s="83"/>
      <c r="V349" s="83"/>
      <c r="W349" s="83"/>
      <c r="X349" s="83"/>
      <c r="Y349" s="83"/>
      <c r="Z349" s="114"/>
      <c r="AA349" s="115" t="str">
        <f t="shared" si="6"/>
        <v/>
      </c>
      <c r="AB349" s="115">
        <f t="shared" si="7"/>
        <v>0</v>
      </c>
      <c r="AC349" s="115">
        <f t="shared" si="8"/>
        <v>0</v>
      </c>
      <c r="AD349" s="115">
        <f t="shared" si="9"/>
        <v>0</v>
      </c>
    </row>
    <row r="350">
      <c r="A350" s="101"/>
      <c r="B350" s="121"/>
      <c r="C350" s="122"/>
      <c r="D350" s="103" t="str">
        <f t="shared" si="1"/>
        <v/>
      </c>
      <c r="E350" s="103" t="str">
        <f t="shared" si="2"/>
        <v/>
      </c>
      <c r="F350" s="103" t="str">
        <f t="shared" si="3"/>
        <v/>
      </c>
      <c r="G350" s="122"/>
      <c r="H350" s="103">
        <f t="shared" si="4"/>
        <v>0</v>
      </c>
      <c r="I350" s="108">
        <f t="shared" si="5"/>
        <v>0</v>
      </c>
      <c r="J350" s="114"/>
      <c r="K350" s="83"/>
      <c r="L350" s="83"/>
      <c r="M350" s="83"/>
      <c r="N350" s="83"/>
      <c r="O350" s="83"/>
      <c r="P350" s="83"/>
      <c r="Q350" s="83"/>
      <c r="R350" s="83"/>
      <c r="S350" s="83"/>
      <c r="T350" s="83"/>
      <c r="U350" s="83"/>
      <c r="V350" s="83"/>
      <c r="W350" s="83"/>
      <c r="X350" s="83"/>
      <c r="Y350" s="83"/>
      <c r="Z350" s="114"/>
      <c r="AA350" s="115" t="str">
        <f t="shared" si="6"/>
        <v/>
      </c>
      <c r="AB350" s="115">
        <f t="shared" si="7"/>
        <v>0</v>
      </c>
      <c r="AC350" s="115">
        <f t="shared" si="8"/>
        <v>0</v>
      </c>
      <c r="AD350" s="115">
        <f t="shared" si="9"/>
        <v>0</v>
      </c>
    </row>
    <row r="351">
      <c r="A351" s="101"/>
      <c r="B351" s="121"/>
      <c r="C351" s="122"/>
      <c r="D351" s="103" t="str">
        <f t="shared" si="1"/>
        <v/>
      </c>
      <c r="E351" s="103" t="str">
        <f t="shared" si="2"/>
        <v/>
      </c>
      <c r="F351" s="103" t="str">
        <f t="shared" si="3"/>
        <v/>
      </c>
      <c r="G351" s="122"/>
      <c r="H351" s="103">
        <f t="shared" si="4"/>
        <v>0</v>
      </c>
      <c r="I351" s="108">
        <f t="shared" si="5"/>
        <v>0</v>
      </c>
      <c r="J351" s="114"/>
      <c r="K351" s="83"/>
      <c r="L351" s="83"/>
      <c r="M351" s="83"/>
      <c r="N351" s="83"/>
      <c r="O351" s="83"/>
      <c r="P351" s="83"/>
      <c r="Q351" s="83"/>
      <c r="R351" s="83"/>
      <c r="S351" s="83"/>
      <c r="T351" s="83"/>
      <c r="U351" s="83"/>
      <c r="V351" s="83"/>
      <c r="W351" s="83"/>
      <c r="X351" s="83"/>
      <c r="Y351" s="83"/>
      <c r="Z351" s="114"/>
      <c r="AA351" s="115" t="str">
        <f t="shared" si="6"/>
        <v/>
      </c>
      <c r="AB351" s="115">
        <f t="shared" si="7"/>
        <v>0</v>
      </c>
      <c r="AC351" s="115">
        <f t="shared" si="8"/>
        <v>0</v>
      </c>
      <c r="AD351" s="115">
        <f t="shared" si="9"/>
        <v>0</v>
      </c>
    </row>
    <row r="352">
      <c r="A352" s="101"/>
      <c r="B352" s="121"/>
      <c r="C352" s="122"/>
      <c r="D352" s="103" t="str">
        <f t="shared" si="1"/>
        <v/>
      </c>
      <c r="E352" s="103" t="str">
        <f t="shared" si="2"/>
        <v/>
      </c>
      <c r="F352" s="103" t="str">
        <f t="shared" si="3"/>
        <v/>
      </c>
      <c r="G352" s="122"/>
      <c r="H352" s="103">
        <f t="shared" si="4"/>
        <v>0</v>
      </c>
      <c r="I352" s="108">
        <f t="shared" si="5"/>
        <v>0</v>
      </c>
      <c r="J352" s="114"/>
      <c r="K352" s="83"/>
      <c r="L352" s="83"/>
      <c r="M352" s="83"/>
      <c r="N352" s="83"/>
      <c r="O352" s="83"/>
      <c r="P352" s="83"/>
      <c r="Q352" s="83"/>
      <c r="R352" s="83"/>
      <c r="S352" s="83"/>
      <c r="T352" s="83"/>
      <c r="U352" s="83"/>
      <c r="V352" s="83"/>
      <c r="W352" s="83"/>
      <c r="X352" s="83"/>
      <c r="Y352" s="83"/>
      <c r="Z352" s="114"/>
      <c r="AA352" s="115" t="str">
        <f t="shared" si="6"/>
        <v/>
      </c>
      <c r="AB352" s="115">
        <f t="shared" si="7"/>
        <v>0</v>
      </c>
      <c r="AC352" s="115">
        <f t="shared" si="8"/>
        <v>0</v>
      </c>
      <c r="AD352" s="115">
        <f t="shared" si="9"/>
        <v>0</v>
      </c>
    </row>
    <row r="353">
      <c r="A353" s="101"/>
      <c r="B353" s="121"/>
      <c r="C353" s="122"/>
      <c r="D353" s="103" t="str">
        <f t="shared" si="1"/>
        <v/>
      </c>
      <c r="E353" s="103" t="str">
        <f t="shared" si="2"/>
        <v/>
      </c>
      <c r="F353" s="103" t="str">
        <f t="shared" si="3"/>
        <v/>
      </c>
      <c r="G353" s="122"/>
      <c r="H353" s="103">
        <f t="shared" si="4"/>
        <v>0</v>
      </c>
      <c r="I353" s="108">
        <f t="shared" si="5"/>
        <v>0</v>
      </c>
      <c r="J353" s="114"/>
      <c r="K353" s="83"/>
      <c r="L353" s="83"/>
      <c r="M353" s="83"/>
      <c r="N353" s="83"/>
      <c r="O353" s="83"/>
      <c r="P353" s="83"/>
      <c r="Q353" s="83"/>
      <c r="R353" s="83"/>
      <c r="S353" s="83"/>
      <c r="T353" s="83"/>
      <c r="U353" s="83"/>
      <c r="V353" s="83"/>
      <c r="W353" s="83"/>
      <c r="X353" s="83"/>
      <c r="Y353" s="83"/>
      <c r="Z353" s="114"/>
      <c r="AA353" s="115" t="str">
        <f t="shared" si="6"/>
        <v/>
      </c>
      <c r="AB353" s="115">
        <f t="shared" si="7"/>
        <v>0</v>
      </c>
      <c r="AC353" s="115">
        <f t="shared" si="8"/>
        <v>0</v>
      </c>
      <c r="AD353" s="115">
        <f t="shared" si="9"/>
        <v>0</v>
      </c>
    </row>
    <row r="354">
      <c r="A354" s="101"/>
      <c r="B354" s="121"/>
      <c r="C354" s="122"/>
      <c r="D354" s="103" t="str">
        <f t="shared" si="1"/>
        <v/>
      </c>
      <c r="E354" s="103" t="str">
        <f t="shared" si="2"/>
        <v/>
      </c>
      <c r="F354" s="103" t="str">
        <f t="shared" si="3"/>
        <v/>
      </c>
      <c r="G354" s="122"/>
      <c r="H354" s="103">
        <f t="shared" si="4"/>
        <v>0</v>
      </c>
      <c r="I354" s="108">
        <f t="shared" si="5"/>
        <v>0</v>
      </c>
      <c r="J354" s="114"/>
      <c r="K354" s="83"/>
      <c r="L354" s="83"/>
      <c r="M354" s="83"/>
      <c r="N354" s="83"/>
      <c r="O354" s="83"/>
      <c r="P354" s="83"/>
      <c r="Q354" s="83"/>
      <c r="R354" s="83"/>
      <c r="S354" s="83"/>
      <c r="T354" s="83"/>
      <c r="U354" s="83"/>
      <c r="V354" s="83"/>
      <c r="W354" s="83"/>
      <c r="X354" s="83"/>
      <c r="Y354" s="83"/>
      <c r="Z354" s="114"/>
      <c r="AA354" s="115" t="str">
        <f t="shared" si="6"/>
        <v/>
      </c>
      <c r="AB354" s="115">
        <f t="shared" si="7"/>
        <v>0</v>
      </c>
      <c r="AC354" s="115">
        <f t="shared" si="8"/>
        <v>0</v>
      </c>
      <c r="AD354" s="115">
        <f t="shared" si="9"/>
        <v>0</v>
      </c>
    </row>
    <row r="355">
      <c r="A355" s="101"/>
      <c r="B355" s="121"/>
      <c r="C355" s="122"/>
      <c r="D355" s="103" t="str">
        <f t="shared" si="1"/>
        <v/>
      </c>
      <c r="E355" s="103" t="str">
        <f t="shared" si="2"/>
        <v/>
      </c>
      <c r="F355" s="103" t="str">
        <f t="shared" si="3"/>
        <v/>
      </c>
      <c r="G355" s="122"/>
      <c r="H355" s="103">
        <f t="shared" si="4"/>
        <v>0</v>
      </c>
      <c r="I355" s="108">
        <f t="shared" si="5"/>
        <v>0</v>
      </c>
      <c r="J355" s="114"/>
      <c r="K355" s="83"/>
      <c r="L355" s="83"/>
      <c r="M355" s="83"/>
      <c r="N355" s="83"/>
      <c r="O355" s="83"/>
      <c r="P355" s="83"/>
      <c r="Q355" s="83"/>
      <c r="R355" s="83"/>
      <c r="S355" s="83"/>
      <c r="T355" s="83"/>
      <c r="U355" s="83"/>
      <c r="V355" s="83"/>
      <c r="W355" s="83"/>
      <c r="X355" s="83"/>
      <c r="Y355" s="83"/>
      <c r="Z355" s="114"/>
      <c r="AA355" s="115" t="str">
        <f t="shared" si="6"/>
        <v/>
      </c>
      <c r="AB355" s="115">
        <f t="shared" si="7"/>
        <v>0</v>
      </c>
      <c r="AC355" s="115">
        <f t="shared" si="8"/>
        <v>0</v>
      </c>
      <c r="AD355" s="115">
        <f t="shared" si="9"/>
        <v>0</v>
      </c>
    </row>
    <row r="356">
      <c r="A356" s="101"/>
      <c r="B356" s="121"/>
      <c r="C356" s="122"/>
      <c r="D356" s="103" t="str">
        <f t="shared" si="1"/>
        <v/>
      </c>
      <c r="E356" s="103" t="str">
        <f t="shared" si="2"/>
        <v/>
      </c>
      <c r="F356" s="103" t="str">
        <f t="shared" si="3"/>
        <v/>
      </c>
      <c r="G356" s="122"/>
      <c r="H356" s="103">
        <f t="shared" si="4"/>
        <v>0</v>
      </c>
      <c r="I356" s="108">
        <f t="shared" si="5"/>
        <v>0</v>
      </c>
      <c r="J356" s="114"/>
      <c r="K356" s="83"/>
      <c r="L356" s="83"/>
      <c r="M356" s="83"/>
      <c r="N356" s="83"/>
      <c r="O356" s="83"/>
      <c r="P356" s="83"/>
      <c r="Q356" s="83"/>
      <c r="R356" s="83"/>
      <c r="S356" s="83"/>
      <c r="T356" s="83"/>
      <c r="U356" s="83"/>
      <c r="V356" s="83"/>
      <c r="W356" s="83"/>
      <c r="X356" s="83"/>
      <c r="Y356" s="83"/>
      <c r="Z356" s="114"/>
      <c r="AA356" s="115" t="str">
        <f t="shared" si="6"/>
        <v/>
      </c>
      <c r="AB356" s="115">
        <f t="shared" si="7"/>
        <v>0</v>
      </c>
      <c r="AC356" s="115">
        <f t="shared" si="8"/>
        <v>0</v>
      </c>
      <c r="AD356" s="115">
        <f t="shared" si="9"/>
        <v>0</v>
      </c>
    </row>
    <row r="357">
      <c r="A357" s="101"/>
      <c r="B357" s="121"/>
      <c r="C357" s="122"/>
      <c r="D357" s="103" t="str">
        <f t="shared" si="1"/>
        <v/>
      </c>
      <c r="E357" s="103" t="str">
        <f t="shared" si="2"/>
        <v/>
      </c>
      <c r="F357" s="103" t="str">
        <f t="shared" si="3"/>
        <v/>
      </c>
      <c r="G357" s="122"/>
      <c r="H357" s="103">
        <f t="shared" si="4"/>
        <v>0</v>
      </c>
      <c r="I357" s="108">
        <f t="shared" si="5"/>
        <v>0</v>
      </c>
      <c r="J357" s="114"/>
      <c r="K357" s="83"/>
      <c r="L357" s="83"/>
      <c r="M357" s="83"/>
      <c r="N357" s="83"/>
      <c r="O357" s="83"/>
      <c r="P357" s="83"/>
      <c r="Q357" s="83"/>
      <c r="R357" s="83"/>
      <c r="S357" s="83"/>
      <c r="T357" s="83"/>
      <c r="U357" s="83"/>
      <c r="V357" s="83"/>
      <c r="W357" s="83"/>
      <c r="X357" s="83"/>
      <c r="Y357" s="83"/>
      <c r="Z357" s="114"/>
      <c r="AA357" s="115" t="str">
        <f t="shared" si="6"/>
        <v/>
      </c>
      <c r="AB357" s="115">
        <f t="shared" si="7"/>
        <v>0</v>
      </c>
      <c r="AC357" s="115">
        <f t="shared" si="8"/>
        <v>0</v>
      </c>
      <c r="AD357" s="115">
        <f t="shared" si="9"/>
        <v>0</v>
      </c>
    </row>
    <row r="358">
      <c r="A358" s="101"/>
      <c r="B358" s="121"/>
      <c r="C358" s="122"/>
      <c r="D358" s="103" t="str">
        <f t="shared" si="1"/>
        <v/>
      </c>
      <c r="E358" s="103" t="str">
        <f t="shared" si="2"/>
        <v/>
      </c>
      <c r="F358" s="103" t="str">
        <f t="shared" si="3"/>
        <v/>
      </c>
      <c r="G358" s="122"/>
      <c r="H358" s="103">
        <f t="shared" si="4"/>
        <v>0</v>
      </c>
      <c r="I358" s="108">
        <f t="shared" si="5"/>
        <v>0</v>
      </c>
      <c r="J358" s="114"/>
      <c r="K358" s="83"/>
      <c r="L358" s="83"/>
      <c r="M358" s="83"/>
      <c r="N358" s="83"/>
      <c r="O358" s="83"/>
      <c r="P358" s="83"/>
      <c r="Q358" s="83"/>
      <c r="R358" s="83"/>
      <c r="S358" s="83"/>
      <c r="T358" s="83"/>
      <c r="U358" s="83"/>
      <c r="V358" s="83"/>
      <c r="W358" s="83"/>
      <c r="X358" s="83"/>
      <c r="Y358" s="83"/>
      <c r="Z358" s="114"/>
      <c r="AA358" s="115" t="str">
        <f t="shared" si="6"/>
        <v/>
      </c>
      <c r="AB358" s="115">
        <f t="shared" si="7"/>
        <v>0</v>
      </c>
      <c r="AC358" s="115">
        <f t="shared" si="8"/>
        <v>0</v>
      </c>
      <c r="AD358" s="115">
        <f t="shared" si="9"/>
        <v>0</v>
      </c>
    </row>
    <row r="359">
      <c r="A359" s="101"/>
      <c r="B359" s="121"/>
      <c r="C359" s="122"/>
      <c r="D359" s="103" t="str">
        <f t="shared" si="1"/>
        <v/>
      </c>
      <c r="E359" s="103" t="str">
        <f t="shared" si="2"/>
        <v/>
      </c>
      <c r="F359" s="103" t="str">
        <f t="shared" si="3"/>
        <v/>
      </c>
      <c r="G359" s="122"/>
      <c r="H359" s="103">
        <f t="shared" si="4"/>
        <v>0</v>
      </c>
      <c r="I359" s="108">
        <f t="shared" si="5"/>
        <v>0</v>
      </c>
      <c r="J359" s="114"/>
      <c r="K359" s="83"/>
      <c r="L359" s="83"/>
      <c r="M359" s="83"/>
      <c r="N359" s="83"/>
      <c r="O359" s="83"/>
      <c r="P359" s="83"/>
      <c r="Q359" s="83"/>
      <c r="R359" s="83"/>
      <c r="S359" s="83"/>
      <c r="T359" s="83"/>
      <c r="U359" s="83"/>
      <c r="V359" s="83"/>
      <c r="W359" s="83"/>
      <c r="X359" s="83"/>
      <c r="Y359" s="83"/>
      <c r="Z359" s="114"/>
      <c r="AA359" s="115" t="str">
        <f t="shared" si="6"/>
        <v/>
      </c>
      <c r="AB359" s="115">
        <f t="shared" si="7"/>
        <v>0</v>
      </c>
      <c r="AC359" s="115">
        <f t="shared" si="8"/>
        <v>0</v>
      </c>
      <c r="AD359" s="115">
        <f t="shared" si="9"/>
        <v>0</v>
      </c>
    </row>
    <row r="360">
      <c r="A360" s="101"/>
      <c r="B360" s="121"/>
      <c r="C360" s="122"/>
      <c r="D360" s="103" t="str">
        <f t="shared" si="1"/>
        <v/>
      </c>
      <c r="E360" s="103" t="str">
        <f t="shared" si="2"/>
        <v/>
      </c>
      <c r="F360" s="103" t="str">
        <f t="shared" si="3"/>
        <v/>
      </c>
      <c r="G360" s="122"/>
      <c r="H360" s="103">
        <f t="shared" si="4"/>
        <v>0</v>
      </c>
      <c r="I360" s="108">
        <f t="shared" si="5"/>
        <v>0</v>
      </c>
      <c r="J360" s="114"/>
      <c r="K360" s="83"/>
      <c r="L360" s="83"/>
      <c r="M360" s="83"/>
      <c r="N360" s="83"/>
      <c r="O360" s="83"/>
      <c r="P360" s="83"/>
      <c r="Q360" s="83"/>
      <c r="R360" s="83"/>
      <c r="S360" s="83"/>
      <c r="T360" s="83"/>
      <c r="U360" s="83"/>
      <c r="V360" s="83"/>
      <c r="W360" s="83"/>
      <c r="X360" s="83"/>
      <c r="Y360" s="83"/>
      <c r="Z360" s="114"/>
      <c r="AA360" s="115" t="str">
        <f t="shared" si="6"/>
        <v/>
      </c>
      <c r="AB360" s="115">
        <f t="shared" si="7"/>
        <v>0</v>
      </c>
      <c r="AC360" s="115">
        <f t="shared" si="8"/>
        <v>0</v>
      </c>
      <c r="AD360" s="115">
        <f t="shared" si="9"/>
        <v>0</v>
      </c>
    </row>
    <row r="361">
      <c r="A361" s="101"/>
      <c r="B361" s="121"/>
      <c r="C361" s="122"/>
      <c r="D361" s="103" t="str">
        <f t="shared" si="1"/>
        <v/>
      </c>
      <c r="E361" s="103" t="str">
        <f t="shared" si="2"/>
        <v/>
      </c>
      <c r="F361" s="103" t="str">
        <f t="shared" si="3"/>
        <v/>
      </c>
      <c r="G361" s="122"/>
      <c r="H361" s="103">
        <f t="shared" si="4"/>
        <v>0</v>
      </c>
      <c r="I361" s="108">
        <f t="shared" si="5"/>
        <v>0</v>
      </c>
      <c r="J361" s="114"/>
      <c r="K361" s="83"/>
      <c r="L361" s="83"/>
      <c r="M361" s="83"/>
      <c r="N361" s="83"/>
      <c r="O361" s="83"/>
      <c r="P361" s="83"/>
      <c r="Q361" s="83"/>
      <c r="R361" s="83"/>
      <c r="S361" s="83"/>
      <c r="T361" s="83"/>
      <c r="U361" s="83"/>
      <c r="V361" s="83"/>
      <c r="W361" s="83"/>
      <c r="X361" s="83"/>
      <c r="Y361" s="83"/>
      <c r="Z361" s="114"/>
      <c r="AA361" s="115" t="str">
        <f t="shared" si="6"/>
        <v/>
      </c>
      <c r="AB361" s="115">
        <f t="shared" si="7"/>
        <v>0</v>
      </c>
      <c r="AC361" s="115">
        <f t="shared" si="8"/>
        <v>0</v>
      </c>
      <c r="AD361" s="115">
        <f t="shared" si="9"/>
        <v>0</v>
      </c>
    </row>
    <row r="362">
      <c r="A362" s="101"/>
      <c r="B362" s="121"/>
      <c r="C362" s="122"/>
      <c r="D362" s="103" t="str">
        <f t="shared" si="1"/>
        <v/>
      </c>
      <c r="E362" s="103" t="str">
        <f t="shared" si="2"/>
        <v/>
      </c>
      <c r="F362" s="103" t="str">
        <f t="shared" si="3"/>
        <v/>
      </c>
      <c r="G362" s="122"/>
      <c r="H362" s="103">
        <f t="shared" si="4"/>
        <v>0</v>
      </c>
      <c r="I362" s="108">
        <f t="shared" si="5"/>
        <v>0</v>
      </c>
      <c r="J362" s="114"/>
      <c r="K362" s="83"/>
      <c r="L362" s="83"/>
      <c r="M362" s="83"/>
      <c r="N362" s="83"/>
      <c r="O362" s="83"/>
      <c r="P362" s="83"/>
      <c r="Q362" s="83"/>
      <c r="R362" s="83"/>
      <c r="S362" s="83"/>
      <c r="T362" s="83"/>
      <c r="U362" s="83"/>
      <c r="V362" s="83"/>
      <c r="W362" s="83"/>
      <c r="X362" s="83"/>
      <c r="Y362" s="83"/>
      <c r="Z362" s="114"/>
      <c r="AA362" s="115" t="str">
        <f t="shared" si="6"/>
        <v/>
      </c>
      <c r="AB362" s="115">
        <f t="shared" si="7"/>
        <v>0</v>
      </c>
      <c r="AC362" s="115">
        <f t="shared" si="8"/>
        <v>0</v>
      </c>
      <c r="AD362" s="115">
        <f t="shared" si="9"/>
        <v>0</v>
      </c>
    </row>
    <row r="363">
      <c r="A363" s="101"/>
      <c r="B363" s="121"/>
      <c r="C363" s="122"/>
      <c r="D363" s="103" t="str">
        <f t="shared" si="1"/>
        <v/>
      </c>
      <c r="E363" s="103" t="str">
        <f t="shared" si="2"/>
        <v/>
      </c>
      <c r="F363" s="103" t="str">
        <f t="shared" si="3"/>
        <v/>
      </c>
      <c r="G363" s="122"/>
      <c r="H363" s="103">
        <f t="shared" si="4"/>
        <v>0</v>
      </c>
      <c r="I363" s="108">
        <f t="shared" si="5"/>
        <v>0</v>
      </c>
      <c r="J363" s="114"/>
      <c r="K363" s="83"/>
      <c r="L363" s="83"/>
      <c r="M363" s="83"/>
      <c r="N363" s="83"/>
      <c r="O363" s="83"/>
      <c r="P363" s="83"/>
      <c r="Q363" s="83"/>
      <c r="R363" s="83"/>
      <c r="S363" s="83"/>
      <c r="T363" s="83"/>
      <c r="U363" s="83"/>
      <c r="V363" s="83"/>
      <c r="W363" s="83"/>
      <c r="X363" s="83"/>
      <c r="Y363" s="83"/>
      <c r="Z363" s="114"/>
      <c r="AA363" s="115" t="str">
        <f t="shared" si="6"/>
        <v/>
      </c>
      <c r="AB363" s="115">
        <f t="shared" si="7"/>
        <v>0</v>
      </c>
      <c r="AC363" s="115">
        <f t="shared" si="8"/>
        <v>0</v>
      </c>
      <c r="AD363" s="115">
        <f t="shared" si="9"/>
        <v>0</v>
      </c>
    </row>
    <row r="364">
      <c r="A364" s="101"/>
      <c r="B364" s="121"/>
      <c r="C364" s="122"/>
      <c r="D364" s="103" t="str">
        <f t="shared" si="1"/>
        <v/>
      </c>
      <c r="E364" s="103" t="str">
        <f t="shared" si="2"/>
        <v/>
      </c>
      <c r="F364" s="103" t="str">
        <f t="shared" si="3"/>
        <v/>
      </c>
      <c r="G364" s="122"/>
      <c r="H364" s="103">
        <f t="shared" si="4"/>
        <v>0</v>
      </c>
      <c r="I364" s="108">
        <f t="shared" si="5"/>
        <v>0</v>
      </c>
      <c r="J364" s="114"/>
      <c r="K364" s="83"/>
      <c r="L364" s="83"/>
      <c r="M364" s="83"/>
      <c r="N364" s="83"/>
      <c r="O364" s="83"/>
      <c r="P364" s="83"/>
      <c r="Q364" s="83"/>
      <c r="R364" s="83"/>
      <c r="S364" s="83"/>
      <c r="T364" s="83"/>
      <c r="U364" s="83"/>
      <c r="V364" s="83"/>
      <c r="W364" s="83"/>
      <c r="X364" s="83"/>
      <c r="Y364" s="83"/>
      <c r="Z364" s="114"/>
      <c r="AA364" s="115" t="str">
        <f t="shared" si="6"/>
        <v/>
      </c>
      <c r="AB364" s="115">
        <f t="shared" si="7"/>
        <v>0</v>
      </c>
      <c r="AC364" s="115">
        <f t="shared" si="8"/>
        <v>0</v>
      </c>
      <c r="AD364" s="115">
        <f t="shared" si="9"/>
        <v>0</v>
      </c>
    </row>
    <row r="365">
      <c r="A365" s="101"/>
      <c r="B365" s="121"/>
      <c r="C365" s="122"/>
      <c r="D365" s="103" t="str">
        <f t="shared" si="1"/>
        <v/>
      </c>
      <c r="E365" s="103" t="str">
        <f t="shared" si="2"/>
        <v/>
      </c>
      <c r="F365" s="103" t="str">
        <f t="shared" si="3"/>
        <v/>
      </c>
      <c r="G365" s="122"/>
      <c r="H365" s="103">
        <f t="shared" si="4"/>
        <v>0</v>
      </c>
      <c r="I365" s="108">
        <f t="shared" si="5"/>
        <v>0</v>
      </c>
      <c r="J365" s="114"/>
      <c r="K365" s="83"/>
      <c r="L365" s="83"/>
      <c r="M365" s="83"/>
      <c r="N365" s="83"/>
      <c r="O365" s="83"/>
      <c r="P365" s="83"/>
      <c r="Q365" s="83"/>
      <c r="R365" s="83"/>
      <c r="S365" s="83"/>
      <c r="T365" s="83"/>
      <c r="U365" s="83"/>
      <c r="V365" s="83"/>
      <c r="W365" s="83"/>
      <c r="X365" s="83"/>
      <c r="Y365" s="83"/>
      <c r="Z365" s="114"/>
      <c r="AA365" s="115" t="str">
        <f t="shared" si="6"/>
        <v/>
      </c>
      <c r="AB365" s="115">
        <f t="shared" si="7"/>
        <v>0</v>
      </c>
      <c r="AC365" s="115">
        <f t="shared" si="8"/>
        <v>0</v>
      </c>
      <c r="AD365" s="115">
        <f t="shared" si="9"/>
        <v>0</v>
      </c>
    </row>
    <row r="366">
      <c r="A366" s="101"/>
      <c r="B366" s="121"/>
      <c r="C366" s="122"/>
      <c r="D366" s="103" t="str">
        <f t="shared" si="1"/>
        <v/>
      </c>
      <c r="E366" s="103" t="str">
        <f t="shared" si="2"/>
        <v/>
      </c>
      <c r="F366" s="103" t="str">
        <f t="shared" si="3"/>
        <v/>
      </c>
      <c r="G366" s="122"/>
      <c r="H366" s="103">
        <f t="shared" si="4"/>
        <v>0</v>
      </c>
      <c r="I366" s="108">
        <f t="shared" si="5"/>
        <v>0</v>
      </c>
      <c r="J366" s="114"/>
      <c r="K366" s="83"/>
      <c r="L366" s="83"/>
      <c r="M366" s="83"/>
      <c r="N366" s="83"/>
      <c r="O366" s="83"/>
      <c r="P366" s="83"/>
      <c r="Q366" s="83"/>
      <c r="R366" s="83"/>
      <c r="S366" s="83"/>
      <c r="T366" s="83"/>
      <c r="U366" s="83"/>
      <c r="V366" s="83"/>
      <c r="W366" s="83"/>
      <c r="X366" s="83"/>
      <c r="Y366" s="83"/>
      <c r="Z366" s="114"/>
      <c r="AA366" s="115" t="str">
        <f t="shared" si="6"/>
        <v/>
      </c>
      <c r="AB366" s="115">
        <f t="shared" si="7"/>
        <v>0</v>
      </c>
      <c r="AC366" s="115">
        <f t="shared" si="8"/>
        <v>0</v>
      </c>
      <c r="AD366" s="115">
        <f t="shared" si="9"/>
        <v>0</v>
      </c>
    </row>
    <row r="367">
      <c r="A367" s="101"/>
      <c r="B367" s="121"/>
      <c r="C367" s="122"/>
      <c r="D367" s="103" t="str">
        <f t="shared" si="1"/>
        <v/>
      </c>
      <c r="E367" s="103" t="str">
        <f t="shared" si="2"/>
        <v/>
      </c>
      <c r="F367" s="103" t="str">
        <f t="shared" si="3"/>
        <v/>
      </c>
      <c r="G367" s="122"/>
      <c r="H367" s="103">
        <f t="shared" si="4"/>
        <v>0</v>
      </c>
      <c r="I367" s="108">
        <f t="shared" si="5"/>
        <v>0</v>
      </c>
      <c r="J367" s="114"/>
      <c r="K367" s="83"/>
      <c r="L367" s="83"/>
      <c r="M367" s="83"/>
      <c r="N367" s="83"/>
      <c r="O367" s="83"/>
      <c r="P367" s="83"/>
      <c r="Q367" s="83"/>
      <c r="R367" s="83"/>
      <c r="S367" s="83"/>
      <c r="T367" s="83"/>
      <c r="U367" s="83"/>
      <c r="V367" s="83"/>
      <c r="W367" s="83"/>
      <c r="X367" s="83"/>
      <c r="Y367" s="83"/>
      <c r="Z367" s="114"/>
      <c r="AA367" s="115" t="str">
        <f t="shared" si="6"/>
        <v/>
      </c>
      <c r="AB367" s="115">
        <f t="shared" si="7"/>
        <v>0</v>
      </c>
      <c r="AC367" s="115">
        <f t="shared" si="8"/>
        <v>0</v>
      </c>
      <c r="AD367" s="115">
        <f t="shared" si="9"/>
        <v>0</v>
      </c>
    </row>
    <row r="368">
      <c r="A368" s="101"/>
      <c r="B368" s="121"/>
      <c r="C368" s="122"/>
      <c r="D368" s="103" t="str">
        <f t="shared" si="1"/>
        <v/>
      </c>
      <c r="E368" s="103" t="str">
        <f t="shared" si="2"/>
        <v/>
      </c>
      <c r="F368" s="103" t="str">
        <f t="shared" si="3"/>
        <v/>
      </c>
      <c r="G368" s="122"/>
      <c r="H368" s="103">
        <f t="shared" si="4"/>
        <v>0</v>
      </c>
      <c r="I368" s="108">
        <f t="shared" si="5"/>
        <v>0</v>
      </c>
      <c r="J368" s="114"/>
      <c r="K368" s="83"/>
      <c r="L368" s="83"/>
      <c r="M368" s="83"/>
      <c r="N368" s="83"/>
      <c r="O368" s="83"/>
      <c r="P368" s="83"/>
      <c r="Q368" s="83"/>
      <c r="R368" s="83"/>
      <c r="S368" s="83"/>
      <c r="T368" s="83"/>
      <c r="U368" s="83"/>
      <c r="V368" s="83"/>
      <c r="W368" s="83"/>
      <c r="X368" s="83"/>
      <c r="Y368" s="83"/>
      <c r="Z368" s="114"/>
      <c r="AA368" s="115" t="str">
        <f t="shared" si="6"/>
        <v/>
      </c>
      <c r="AB368" s="115">
        <f t="shared" si="7"/>
        <v>0</v>
      </c>
      <c r="AC368" s="115">
        <f t="shared" si="8"/>
        <v>0</v>
      </c>
      <c r="AD368" s="115">
        <f t="shared" si="9"/>
        <v>0</v>
      </c>
    </row>
    <row r="369">
      <c r="A369" s="101"/>
      <c r="B369" s="121"/>
      <c r="C369" s="122"/>
      <c r="D369" s="103" t="str">
        <f t="shared" si="1"/>
        <v/>
      </c>
      <c r="E369" s="103" t="str">
        <f t="shared" si="2"/>
        <v/>
      </c>
      <c r="F369" s="103" t="str">
        <f t="shared" si="3"/>
        <v/>
      </c>
      <c r="G369" s="122"/>
      <c r="H369" s="103">
        <f t="shared" si="4"/>
        <v>0</v>
      </c>
      <c r="I369" s="108">
        <f t="shared" si="5"/>
        <v>0</v>
      </c>
      <c r="J369" s="114"/>
      <c r="K369" s="83"/>
      <c r="L369" s="83"/>
      <c r="M369" s="83"/>
      <c r="N369" s="83"/>
      <c r="O369" s="83"/>
      <c r="P369" s="83"/>
      <c r="Q369" s="83"/>
      <c r="R369" s="83"/>
      <c r="S369" s="83"/>
      <c r="T369" s="83"/>
      <c r="U369" s="83"/>
      <c r="V369" s="83"/>
      <c r="W369" s="83"/>
      <c r="X369" s="83"/>
      <c r="Y369" s="83"/>
      <c r="Z369" s="114"/>
      <c r="AA369" s="115" t="str">
        <f t="shared" si="6"/>
        <v/>
      </c>
      <c r="AB369" s="115">
        <f t="shared" si="7"/>
        <v>0</v>
      </c>
      <c r="AC369" s="115">
        <f t="shared" si="8"/>
        <v>0</v>
      </c>
      <c r="AD369" s="115">
        <f t="shared" si="9"/>
        <v>0</v>
      </c>
    </row>
    <row r="370">
      <c r="A370" s="101"/>
      <c r="B370" s="121"/>
      <c r="C370" s="122"/>
      <c r="D370" s="103" t="str">
        <f t="shared" si="1"/>
        <v/>
      </c>
      <c r="E370" s="103" t="str">
        <f t="shared" si="2"/>
        <v/>
      </c>
      <c r="F370" s="103" t="str">
        <f t="shared" si="3"/>
        <v/>
      </c>
      <c r="G370" s="122"/>
      <c r="H370" s="103">
        <f t="shared" si="4"/>
        <v>0</v>
      </c>
      <c r="I370" s="108">
        <f t="shared" si="5"/>
        <v>0</v>
      </c>
      <c r="J370" s="114"/>
      <c r="K370" s="83"/>
      <c r="L370" s="83"/>
      <c r="M370" s="83"/>
      <c r="N370" s="83"/>
      <c r="O370" s="83"/>
      <c r="P370" s="83"/>
      <c r="Q370" s="83"/>
      <c r="R370" s="83"/>
      <c r="S370" s="83"/>
      <c r="T370" s="83"/>
      <c r="U370" s="83"/>
      <c r="V370" s="83"/>
      <c r="W370" s="83"/>
      <c r="X370" s="83"/>
      <c r="Y370" s="83"/>
      <c r="Z370" s="114"/>
      <c r="AA370" s="115" t="str">
        <f t="shared" si="6"/>
        <v/>
      </c>
      <c r="AB370" s="115">
        <f t="shared" si="7"/>
        <v>0</v>
      </c>
      <c r="AC370" s="115">
        <f t="shared" si="8"/>
        <v>0</v>
      </c>
      <c r="AD370" s="115">
        <f t="shared" si="9"/>
        <v>0</v>
      </c>
    </row>
    <row r="371">
      <c r="A371" s="101"/>
      <c r="B371" s="121"/>
      <c r="C371" s="122"/>
      <c r="D371" s="103" t="str">
        <f t="shared" si="1"/>
        <v/>
      </c>
      <c r="E371" s="103" t="str">
        <f t="shared" si="2"/>
        <v/>
      </c>
      <c r="F371" s="103" t="str">
        <f t="shared" si="3"/>
        <v/>
      </c>
      <c r="G371" s="122"/>
      <c r="H371" s="103">
        <f t="shared" si="4"/>
        <v>0</v>
      </c>
      <c r="I371" s="108">
        <f t="shared" si="5"/>
        <v>0</v>
      </c>
      <c r="J371" s="114"/>
      <c r="K371" s="83"/>
      <c r="L371" s="83"/>
      <c r="M371" s="83"/>
      <c r="N371" s="83"/>
      <c r="O371" s="83"/>
      <c r="P371" s="83"/>
      <c r="Q371" s="83"/>
      <c r="R371" s="83"/>
      <c r="S371" s="83"/>
      <c r="T371" s="83"/>
      <c r="U371" s="83"/>
      <c r="V371" s="83"/>
      <c r="W371" s="83"/>
      <c r="X371" s="83"/>
      <c r="Y371" s="83"/>
      <c r="Z371" s="114"/>
      <c r="AA371" s="115" t="str">
        <f t="shared" si="6"/>
        <v/>
      </c>
      <c r="AB371" s="115">
        <f t="shared" si="7"/>
        <v>0</v>
      </c>
      <c r="AC371" s="115">
        <f t="shared" si="8"/>
        <v>0</v>
      </c>
      <c r="AD371" s="115">
        <f t="shared" si="9"/>
        <v>0</v>
      </c>
    </row>
    <row r="372">
      <c r="A372" s="101"/>
      <c r="B372" s="121"/>
      <c r="C372" s="122"/>
      <c r="D372" s="103" t="str">
        <f t="shared" si="1"/>
        <v/>
      </c>
      <c r="E372" s="103" t="str">
        <f t="shared" si="2"/>
        <v/>
      </c>
      <c r="F372" s="103" t="str">
        <f t="shared" si="3"/>
        <v/>
      </c>
      <c r="G372" s="122"/>
      <c r="H372" s="103">
        <f t="shared" si="4"/>
        <v>0</v>
      </c>
      <c r="I372" s="108">
        <f t="shared" si="5"/>
        <v>0</v>
      </c>
      <c r="J372" s="114"/>
      <c r="K372" s="83"/>
      <c r="L372" s="83"/>
      <c r="M372" s="83"/>
      <c r="N372" s="83"/>
      <c r="O372" s="83"/>
      <c r="P372" s="83"/>
      <c r="Q372" s="83"/>
      <c r="R372" s="83"/>
      <c r="S372" s="83"/>
      <c r="T372" s="83"/>
      <c r="U372" s="83"/>
      <c r="V372" s="83"/>
      <c r="W372" s="83"/>
      <c r="X372" s="83"/>
      <c r="Y372" s="83"/>
      <c r="Z372" s="114"/>
      <c r="AA372" s="115" t="str">
        <f t="shared" si="6"/>
        <v/>
      </c>
      <c r="AB372" s="115">
        <f t="shared" si="7"/>
        <v>0</v>
      </c>
      <c r="AC372" s="115">
        <f t="shared" si="8"/>
        <v>0</v>
      </c>
      <c r="AD372" s="115">
        <f t="shared" si="9"/>
        <v>0</v>
      </c>
    </row>
    <row r="373">
      <c r="A373" s="101"/>
      <c r="B373" s="121"/>
      <c r="C373" s="122"/>
      <c r="D373" s="103" t="str">
        <f t="shared" si="1"/>
        <v/>
      </c>
      <c r="E373" s="103" t="str">
        <f t="shared" si="2"/>
        <v/>
      </c>
      <c r="F373" s="103" t="str">
        <f t="shared" si="3"/>
        <v/>
      </c>
      <c r="G373" s="122"/>
      <c r="H373" s="103">
        <f t="shared" si="4"/>
        <v>0</v>
      </c>
      <c r="I373" s="108">
        <f t="shared" si="5"/>
        <v>0</v>
      </c>
      <c r="J373" s="114"/>
      <c r="K373" s="83"/>
      <c r="L373" s="83"/>
      <c r="M373" s="83"/>
      <c r="N373" s="83"/>
      <c r="O373" s="83"/>
      <c r="P373" s="83"/>
      <c r="Q373" s="83"/>
      <c r="R373" s="83"/>
      <c r="S373" s="83"/>
      <c r="T373" s="83"/>
      <c r="U373" s="83"/>
      <c r="V373" s="83"/>
      <c r="W373" s="83"/>
      <c r="X373" s="83"/>
      <c r="Y373" s="83"/>
      <c r="Z373" s="114"/>
      <c r="AA373" s="115" t="str">
        <f t="shared" si="6"/>
        <v/>
      </c>
      <c r="AB373" s="115">
        <f t="shared" si="7"/>
        <v>0</v>
      </c>
      <c r="AC373" s="115">
        <f t="shared" si="8"/>
        <v>0</v>
      </c>
      <c r="AD373" s="115">
        <f t="shared" si="9"/>
        <v>0</v>
      </c>
    </row>
    <row r="374">
      <c r="A374" s="101"/>
      <c r="B374" s="121"/>
      <c r="C374" s="122"/>
      <c r="D374" s="103" t="str">
        <f t="shared" si="1"/>
        <v/>
      </c>
      <c r="E374" s="103" t="str">
        <f t="shared" si="2"/>
        <v/>
      </c>
      <c r="F374" s="103" t="str">
        <f t="shared" si="3"/>
        <v/>
      </c>
      <c r="G374" s="122"/>
      <c r="H374" s="103">
        <f t="shared" si="4"/>
        <v>0</v>
      </c>
      <c r="I374" s="108">
        <f t="shared" si="5"/>
        <v>0</v>
      </c>
      <c r="J374" s="114"/>
      <c r="K374" s="83"/>
      <c r="L374" s="83"/>
      <c r="M374" s="83"/>
      <c r="N374" s="83"/>
      <c r="O374" s="83"/>
      <c r="P374" s="83"/>
      <c r="Q374" s="83"/>
      <c r="R374" s="83"/>
      <c r="S374" s="83"/>
      <c r="T374" s="83"/>
      <c r="U374" s="83"/>
      <c r="V374" s="83"/>
      <c r="W374" s="83"/>
      <c r="X374" s="83"/>
      <c r="Y374" s="83"/>
      <c r="Z374" s="114"/>
      <c r="AA374" s="115" t="str">
        <f t="shared" si="6"/>
        <v/>
      </c>
      <c r="AB374" s="115">
        <f t="shared" si="7"/>
        <v>0</v>
      </c>
      <c r="AC374" s="115">
        <f t="shared" si="8"/>
        <v>0</v>
      </c>
      <c r="AD374" s="115">
        <f t="shared" si="9"/>
        <v>0</v>
      </c>
    </row>
    <row r="375">
      <c r="A375" s="101"/>
      <c r="B375" s="121"/>
      <c r="C375" s="122"/>
      <c r="D375" s="103" t="str">
        <f t="shared" si="1"/>
        <v/>
      </c>
      <c r="E375" s="103" t="str">
        <f t="shared" si="2"/>
        <v/>
      </c>
      <c r="F375" s="103" t="str">
        <f t="shared" si="3"/>
        <v/>
      </c>
      <c r="G375" s="122"/>
      <c r="H375" s="103">
        <f t="shared" si="4"/>
        <v>0</v>
      </c>
      <c r="I375" s="108">
        <f t="shared" si="5"/>
        <v>0</v>
      </c>
      <c r="J375" s="114"/>
      <c r="K375" s="83"/>
      <c r="L375" s="83"/>
      <c r="M375" s="83"/>
      <c r="N375" s="83"/>
      <c r="O375" s="83"/>
      <c r="P375" s="83"/>
      <c r="Q375" s="83"/>
      <c r="R375" s="83"/>
      <c r="S375" s="83"/>
      <c r="T375" s="83"/>
      <c r="U375" s="83"/>
      <c r="V375" s="83"/>
      <c r="W375" s="83"/>
      <c r="X375" s="83"/>
      <c r="Y375" s="83"/>
      <c r="Z375" s="114"/>
      <c r="AA375" s="115" t="str">
        <f t="shared" si="6"/>
        <v/>
      </c>
      <c r="AB375" s="115">
        <f t="shared" si="7"/>
        <v>0</v>
      </c>
      <c r="AC375" s="115">
        <f t="shared" si="8"/>
        <v>0</v>
      </c>
      <c r="AD375" s="115">
        <f t="shared" si="9"/>
        <v>0</v>
      </c>
    </row>
    <row r="376">
      <c r="A376" s="101"/>
      <c r="B376" s="121"/>
      <c r="C376" s="122"/>
      <c r="D376" s="103" t="str">
        <f t="shared" si="1"/>
        <v/>
      </c>
      <c r="E376" s="103" t="str">
        <f t="shared" si="2"/>
        <v/>
      </c>
      <c r="F376" s="103" t="str">
        <f t="shared" si="3"/>
        <v/>
      </c>
      <c r="G376" s="122"/>
      <c r="H376" s="103">
        <f t="shared" si="4"/>
        <v>0</v>
      </c>
      <c r="I376" s="108">
        <f t="shared" si="5"/>
        <v>0</v>
      </c>
      <c r="J376" s="114"/>
      <c r="K376" s="83"/>
      <c r="L376" s="83"/>
      <c r="M376" s="83"/>
      <c r="N376" s="83"/>
      <c r="O376" s="83"/>
      <c r="P376" s="83"/>
      <c r="Q376" s="83"/>
      <c r="R376" s="83"/>
      <c r="S376" s="83"/>
      <c r="T376" s="83"/>
      <c r="U376" s="83"/>
      <c r="V376" s="83"/>
      <c r="W376" s="83"/>
      <c r="X376" s="83"/>
      <c r="Y376" s="83"/>
      <c r="Z376" s="114"/>
      <c r="AA376" s="115" t="str">
        <f t="shared" si="6"/>
        <v/>
      </c>
      <c r="AB376" s="115">
        <f t="shared" si="7"/>
        <v>0</v>
      </c>
      <c r="AC376" s="115">
        <f t="shared" si="8"/>
        <v>0</v>
      </c>
      <c r="AD376" s="115">
        <f t="shared" si="9"/>
        <v>0</v>
      </c>
    </row>
    <row r="377">
      <c r="A377" s="101"/>
      <c r="B377" s="121"/>
      <c r="C377" s="122"/>
      <c r="D377" s="103" t="str">
        <f t="shared" si="1"/>
        <v/>
      </c>
      <c r="E377" s="103" t="str">
        <f t="shared" si="2"/>
        <v/>
      </c>
      <c r="F377" s="103" t="str">
        <f t="shared" si="3"/>
        <v/>
      </c>
      <c r="G377" s="122"/>
      <c r="H377" s="103">
        <f t="shared" si="4"/>
        <v>0</v>
      </c>
      <c r="I377" s="108">
        <f t="shared" si="5"/>
        <v>0</v>
      </c>
      <c r="J377" s="114"/>
      <c r="K377" s="83"/>
      <c r="L377" s="83"/>
      <c r="M377" s="83"/>
      <c r="N377" s="83"/>
      <c r="O377" s="83"/>
      <c r="P377" s="83"/>
      <c r="Q377" s="83"/>
      <c r="R377" s="83"/>
      <c r="S377" s="83"/>
      <c r="T377" s="83"/>
      <c r="U377" s="83"/>
      <c r="V377" s="83"/>
      <c r="W377" s="83"/>
      <c r="X377" s="83"/>
      <c r="Y377" s="83"/>
      <c r="Z377" s="114"/>
      <c r="AA377" s="115" t="str">
        <f t="shared" si="6"/>
        <v/>
      </c>
      <c r="AB377" s="115">
        <f t="shared" si="7"/>
        <v>0</v>
      </c>
      <c r="AC377" s="115">
        <f t="shared" si="8"/>
        <v>0</v>
      </c>
      <c r="AD377" s="115">
        <f t="shared" si="9"/>
        <v>0</v>
      </c>
    </row>
    <row r="378">
      <c r="A378" s="101"/>
      <c r="B378" s="121"/>
      <c r="C378" s="122"/>
      <c r="D378" s="103" t="str">
        <f t="shared" si="1"/>
        <v/>
      </c>
      <c r="E378" s="103" t="str">
        <f t="shared" si="2"/>
        <v/>
      </c>
      <c r="F378" s="103" t="str">
        <f t="shared" si="3"/>
        <v/>
      </c>
      <c r="G378" s="122"/>
      <c r="H378" s="103">
        <f t="shared" si="4"/>
        <v>0</v>
      </c>
      <c r="I378" s="108">
        <f t="shared" si="5"/>
        <v>0</v>
      </c>
      <c r="J378" s="114"/>
      <c r="K378" s="83"/>
      <c r="L378" s="83"/>
      <c r="M378" s="83"/>
      <c r="N378" s="83"/>
      <c r="O378" s="83"/>
      <c r="P378" s="83"/>
      <c r="Q378" s="83"/>
      <c r="R378" s="83"/>
      <c r="S378" s="83"/>
      <c r="T378" s="83"/>
      <c r="U378" s="83"/>
      <c r="V378" s="83"/>
      <c r="W378" s="83"/>
      <c r="X378" s="83"/>
      <c r="Y378" s="83"/>
      <c r="Z378" s="114"/>
      <c r="AA378" s="115" t="str">
        <f t="shared" si="6"/>
        <v/>
      </c>
      <c r="AB378" s="115">
        <f t="shared" si="7"/>
        <v>0</v>
      </c>
      <c r="AC378" s="115">
        <f t="shared" si="8"/>
        <v>0</v>
      </c>
      <c r="AD378" s="115">
        <f t="shared" si="9"/>
        <v>0</v>
      </c>
    </row>
    <row r="379">
      <c r="A379" s="101"/>
      <c r="B379" s="121"/>
      <c r="C379" s="122"/>
      <c r="D379" s="103" t="str">
        <f t="shared" si="1"/>
        <v/>
      </c>
      <c r="E379" s="103" t="str">
        <f t="shared" si="2"/>
        <v/>
      </c>
      <c r="F379" s="103" t="str">
        <f t="shared" si="3"/>
        <v/>
      </c>
      <c r="G379" s="122"/>
      <c r="H379" s="103">
        <f t="shared" si="4"/>
        <v>0</v>
      </c>
      <c r="I379" s="108">
        <f t="shared" si="5"/>
        <v>0</v>
      </c>
      <c r="J379" s="114"/>
      <c r="K379" s="83"/>
      <c r="L379" s="83"/>
      <c r="M379" s="83"/>
      <c r="N379" s="83"/>
      <c r="O379" s="83"/>
      <c r="P379" s="83"/>
      <c r="Q379" s="83"/>
      <c r="R379" s="83"/>
      <c r="S379" s="83"/>
      <c r="T379" s="83"/>
      <c r="U379" s="83"/>
      <c r="V379" s="83"/>
      <c r="W379" s="83"/>
      <c r="X379" s="83"/>
      <c r="Y379" s="83"/>
      <c r="Z379" s="114"/>
      <c r="AA379" s="115" t="str">
        <f t="shared" si="6"/>
        <v/>
      </c>
      <c r="AB379" s="115">
        <f t="shared" si="7"/>
        <v>0</v>
      </c>
      <c r="AC379" s="115">
        <f t="shared" si="8"/>
        <v>0</v>
      </c>
      <c r="AD379" s="115">
        <f t="shared" si="9"/>
        <v>0</v>
      </c>
    </row>
    <row r="380">
      <c r="A380" s="101"/>
      <c r="B380" s="121"/>
      <c r="C380" s="122"/>
      <c r="D380" s="103" t="str">
        <f t="shared" si="1"/>
        <v/>
      </c>
      <c r="E380" s="103" t="str">
        <f t="shared" si="2"/>
        <v/>
      </c>
      <c r="F380" s="103" t="str">
        <f t="shared" si="3"/>
        <v/>
      </c>
      <c r="G380" s="122"/>
      <c r="H380" s="103">
        <f t="shared" si="4"/>
        <v>0</v>
      </c>
      <c r="I380" s="108">
        <f t="shared" si="5"/>
        <v>0</v>
      </c>
      <c r="J380" s="114"/>
      <c r="K380" s="83"/>
      <c r="L380" s="83"/>
      <c r="M380" s="83"/>
      <c r="N380" s="83"/>
      <c r="O380" s="83"/>
      <c r="P380" s="83"/>
      <c r="Q380" s="83"/>
      <c r="R380" s="83"/>
      <c r="S380" s="83"/>
      <c r="T380" s="83"/>
      <c r="U380" s="83"/>
      <c r="V380" s="83"/>
      <c r="W380" s="83"/>
      <c r="X380" s="83"/>
      <c r="Y380" s="83"/>
      <c r="Z380" s="114"/>
      <c r="AA380" s="115" t="str">
        <f t="shared" si="6"/>
        <v/>
      </c>
      <c r="AB380" s="115">
        <f t="shared" si="7"/>
        <v>0</v>
      </c>
      <c r="AC380" s="115">
        <f t="shared" si="8"/>
        <v>0</v>
      </c>
      <c r="AD380" s="115">
        <f t="shared" si="9"/>
        <v>0</v>
      </c>
    </row>
    <row r="381">
      <c r="A381" s="101"/>
      <c r="B381" s="121"/>
      <c r="C381" s="122"/>
      <c r="D381" s="103" t="str">
        <f t="shared" si="1"/>
        <v/>
      </c>
      <c r="E381" s="103" t="str">
        <f t="shared" si="2"/>
        <v/>
      </c>
      <c r="F381" s="103" t="str">
        <f t="shared" si="3"/>
        <v/>
      </c>
      <c r="G381" s="122"/>
      <c r="H381" s="103">
        <f t="shared" si="4"/>
        <v>0</v>
      </c>
      <c r="I381" s="108">
        <f t="shared" si="5"/>
        <v>0</v>
      </c>
      <c r="J381" s="114"/>
      <c r="K381" s="83"/>
      <c r="L381" s="83"/>
      <c r="M381" s="83"/>
      <c r="N381" s="83"/>
      <c r="O381" s="83"/>
      <c r="P381" s="83"/>
      <c r="Q381" s="83"/>
      <c r="R381" s="83"/>
      <c r="S381" s="83"/>
      <c r="T381" s="83"/>
      <c r="U381" s="83"/>
      <c r="V381" s="83"/>
      <c r="W381" s="83"/>
      <c r="X381" s="83"/>
      <c r="Y381" s="83"/>
      <c r="Z381" s="114"/>
      <c r="AA381" s="115" t="str">
        <f t="shared" si="6"/>
        <v/>
      </c>
      <c r="AB381" s="115">
        <f t="shared" si="7"/>
        <v>0</v>
      </c>
      <c r="AC381" s="115">
        <f t="shared" si="8"/>
        <v>0</v>
      </c>
      <c r="AD381" s="115">
        <f t="shared" si="9"/>
        <v>0</v>
      </c>
    </row>
    <row r="382">
      <c r="A382" s="101"/>
      <c r="B382" s="121"/>
      <c r="C382" s="122"/>
      <c r="D382" s="103" t="str">
        <f t="shared" si="1"/>
        <v/>
      </c>
      <c r="E382" s="103" t="str">
        <f t="shared" si="2"/>
        <v/>
      </c>
      <c r="F382" s="103" t="str">
        <f t="shared" si="3"/>
        <v/>
      </c>
      <c r="G382" s="122"/>
      <c r="H382" s="103">
        <f t="shared" si="4"/>
        <v>0</v>
      </c>
      <c r="I382" s="108">
        <f t="shared" si="5"/>
        <v>0</v>
      </c>
      <c r="J382" s="114"/>
      <c r="K382" s="83"/>
      <c r="L382" s="83"/>
      <c r="M382" s="83"/>
      <c r="N382" s="83"/>
      <c r="O382" s="83"/>
      <c r="P382" s="83"/>
      <c r="Q382" s="83"/>
      <c r="R382" s="83"/>
      <c r="S382" s="83"/>
      <c r="T382" s="83"/>
      <c r="U382" s="83"/>
      <c r="V382" s="83"/>
      <c r="W382" s="83"/>
      <c r="X382" s="83"/>
      <c r="Y382" s="83"/>
      <c r="Z382" s="114"/>
      <c r="AA382" s="115" t="str">
        <f t="shared" si="6"/>
        <v/>
      </c>
      <c r="AB382" s="115">
        <f t="shared" si="7"/>
        <v>0</v>
      </c>
      <c r="AC382" s="115">
        <f t="shared" si="8"/>
        <v>0</v>
      </c>
      <c r="AD382" s="115">
        <f t="shared" si="9"/>
        <v>0</v>
      </c>
    </row>
    <row r="383">
      <c r="A383" s="101"/>
      <c r="B383" s="121"/>
      <c r="C383" s="122"/>
      <c r="D383" s="103" t="str">
        <f t="shared" si="1"/>
        <v/>
      </c>
      <c r="E383" s="103" t="str">
        <f t="shared" si="2"/>
        <v/>
      </c>
      <c r="F383" s="103" t="str">
        <f t="shared" si="3"/>
        <v/>
      </c>
      <c r="G383" s="122"/>
      <c r="H383" s="103">
        <f t="shared" si="4"/>
        <v>0</v>
      </c>
      <c r="I383" s="108">
        <f t="shared" si="5"/>
        <v>0</v>
      </c>
      <c r="J383" s="114"/>
      <c r="K383" s="83"/>
      <c r="L383" s="83"/>
      <c r="M383" s="83"/>
      <c r="N383" s="83"/>
      <c r="O383" s="83"/>
      <c r="P383" s="83"/>
      <c r="Q383" s="83"/>
      <c r="R383" s="83"/>
      <c r="S383" s="83"/>
      <c r="T383" s="83"/>
      <c r="U383" s="83"/>
      <c r="V383" s="83"/>
      <c r="W383" s="83"/>
      <c r="X383" s="83"/>
      <c r="Y383" s="83"/>
      <c r="Z383" s="114"/>
      <c r="AA383" s="115" t="str">
        <f t="shared" si="6"/>
        <v/>
      </c>
      <c r="AB383" s="115">
        <f t="shared" si="7"/>
        <v>0</v>
      </c>
      <c r="AC383" s="115">
        <f t="shared" si="8"/>
        <v>0</v>
      </c>
      <c r="AD383" s="115">
        <f t="shared" si="9"/>
        <v>0</v>
      </c>
    </row>
    <row r="384">
      <c r="A384" s="101"/>
      <c r="B384" s="121"/>
      <c r="C384" s="122"/>
      <c r="D384" s="103" t="str">
        <f t="shared" si="1"/>
        <v/>
      </c>
      <c r="E384" s="103" t="str">
        <f t="shared" si="2"/>
        <v/>
      </c>
      <c r="F384" s="103" t="str">
        <f t="shared" si="3"/>
        <v/>
      </c>
      <c r="G384" s="122"/>
      <c r="H384" s="103">
        <f t="shared" si="4"/>
        <v>0</v>
      </c>
      <c r="I384" s="108">
        <f t="shared" si="5"/>
        <v>0</v>
      </c>
      <c r="J384" s="114"/>
      <c r="K384" s="83"/>
      <c r="L384" s="83"/>
      <c r="M384" s="83"/>
      <c r="N384" s="83"/>
      <c r="O384" s="83"/>
      <c r="P384" s="83"/>
      <c r="Q384" s="83"/>
      <c r="R384" s="83"/>
      <c r="S384" s="83"/>
      <c r="T384" s="83"/>
      <c r="U384" s="83"/>
      <c r="V384" s="83"/>
      <c r="W384" s="83"/>
      <c r="X384" s="83"/>
      <c r="Y384" s="83"/>
      <c r="Z384" s="114"/>
      <c r="AA384" s="115" t="str">
        <f t="shared" si="6"/>
        <v/>
      </c>
      <c r="AB384" s="115">
        <f t="shared" si="7"/>
        <v>0</v>
      </c>
      <c r="AC384" s="115">
        <f t="shared" si="8"/>
        <v>0</v>
      </c>
      <c r="AD384" s="115">
        <f t="shared" si="9"/>
        <v>0</v>
      </c>
    </row>
    <row r="385">
      <c r="A385" s="101"/>
      <c r="B385" s="121"/>
      <c r="C385" s="122"/>
      <c r="D385" s="103" t="str">
        <f t="shared" si="1"/>
        <v/>
      </c>
      <c r="E385" s="103" t="str">
        <f t="shared" si="2"/>
        <v/>
      </c>
      <c r="F385" s="103" t="str">
        <f t="shared" si="3"/>
        <v/>
      </c>
      <c r="G385" s="122"/>
      <c r="H385" s="103">
        <f t="shared" si="4"/>
        <v>0</v>
      </c>
      <c r="I385" s="108">
        <f t="shared" si="5"/>
        <v>0</v>
      </c>
      <c r="J385" s="114"/>
      <c r="K385" s="83"/>
      <c r="L385" s="83"/>
      <c r="M385" s="83"/>
      <c r="N385" s="83"/>
      <c r="O385" s="83"/>
      <c r="P385" s="83"/>
      <c r="Q385" s="83"/>
      <c r="R385" s="83"/>
      <c r="S385" s="83"/>
      <c r="T385" s="83"/>
      <c r="U385" s="83"/>
      <c r="V385" s="83"/>
      <c r="W385" s="83"/>
      <c r="X385" s="83"/>
      <c r="Y385" s="83"/>
      <c r="Z385" s="114"/>
      <c r="AA385" s="115" t="str">
        <f t="shared" si="6"/>
        <v/>
      </c>
      <c r="AB385" s="115">
        <f t="shared" si="7"/>
        <v>0</v>
      </c>
      <c r="AC385" s="115">
        <f t="shared" si="8"/>
        <v>0</v>
      </c>
      <c r="AD385" s="115">
        <f t="shared" si="9"/>
        <v>0</v>
      </c>
    </row>
    <row r="386">
      <c r="A386" s="101"/>
      <c r="B386" s="121"/>
      <c r="C386" s="122"/>
      <c r="D386" s="103" t="str">
        <f t="shared" si="1"/>
        <v/>
      </c>
      <c r="E386" s="103" t="str">
        <f t="shared" si="2"/>
        <v/>
      </c>
      <c r="F386" s="103" t="str">
        <f t="shared" si="3"/>
        <v/>
      </c>
      <c r="G386" s="122"/>
      <c r="H386" s="103">
        <f t="shared" si="4"/>
        <v>0</v>
      </c>
      <c r="I386" s="108">
        <f t="shared" si="5"/>
        <v>0</v>
      </c>
      <c r="J386" s="114"/>
      <c r="K386" s="83"/>
      <c r="L386" s="83"/>
      <c r="M386" s="83"/>
      <c r="N386" s="83"/>
      <c r="O386" s="83"/>
      <c r="P386" s="83"/>
      <c r="Q386" s="83"/>
      <c r="R386" s="83"/>
      <c r="S386" s="83"/>
      <c r="T386" s="83"/>
      <c r="U386" s="83"/>
      <c r="V386" s="83"/>
      <c r="W386" s="83"/>
      <c r="X386" s="83"/>
      <c r="Y386" s="83"/>
      <c r="Z386" s="114"/>
      <c r="AA386" s="115" t="str">
        <f t="shared" si="6"/>
        <v/>
      </c>
      <c r="AB386" s="115">
        <f t="shared" si="7"/>
        <v>0</v>
      </c>
      <c r="AC386" s="115">
        <f t="shared" si="8"/>
        <v>0</v>
      </c>
      <c r="AD386" s="115">
        <f t="shared" si="9"/>
        <v>0</v>
      </c>
    </row>
    <row r="387">
      <c r="A387" s="101"/>
      <c r="B387" s="121"/>
      <c r="C387" s="122"/>
      <c r="D387" s="103" t="str">
        <f t="shared" si="1"/>
        <v/>
      </c>
      <c r="E387" s="103" t="str">
        <f t="shared" si="2"/>
        <v/>
      </c>
      <c r="F387" s="103" t="str">
        <f t="shared" si="3"/>
        <v/>
      </c>
      <c r="G387" s="122"/>
      <c r="H387" s="103">
        <f t="shared" si="4"/>
        <v>0</v>
      </c>
      <c r="I387" s="108">
        <f t="shared" si="5"/>
        <v>0</v>
      </c>
      <c r="J387" s="114"/>
      <c r="K387" s="83"/>
      <c r="L387" s="83"/>
      <c r="M387" s="83"/>
      <c r="N387" s="83"/>
      <c r="O387" s="83"/>
      <c r="P387" s="83"/>
      <c r="Q387" s="83"/>
      <c r="R387" s="83"/>
      <c r="S387" s="83"/>
      <c r="T387" s="83"/>
      <c r="U387" s="83"/>
      <c r="V387" s="83"/>
      <c r="W387" s="83"/>
      <c r="X387" s="83"/>
      <c r="Y387" s="83"/>
      <c r="Z387" s="114"/>
      <c r="AA387" s="115" t="str">
        <f t="shared" si="6"/>
        <v/>
      </c>
      <c r="AB387" s="115">
        <f t="shared" si="7"/>
        <v>0</v>
      </c>
      <c r="AC387" s="115">
        <f t="shared" si="8"/>
        <v>0</v>
      </c>
      <c r="AD387" s="115">
        <f t="shared" si="9"/>
        <v>0</v>
      </c>
    </row>
    <row r="388">
      <c r="A388" s="101"/>
      <c r="B388" s="121"/>
      <c r="C388" s="122"/>
      <c r="D388" s="103" t="str">
        <f t="shared" si="1"/>
        <v/>
      </c>
      <c r="E388" s="103" t="str">
        <f t="shared" si="2"/>
        <v/>
      </c>
      <c r="F388" s="103" t="str">
        <f t="shared" si="3"/>
        <v/>
      </c>
      <c r="G388" s="122"/>
      <c r="H388" s="103">
        <f t="shared" si="4"/>
        <v>0</v>
      </c>
      <c r="I388" s="108">
        <f t="shared" si="5"/>
        <v>0</v>
      </c>
      <c r="J388" s="114"/>
      <c r="K388" s="83"/>
      <c r="L388" s="83"/>
      <c r="M388" s="83"/>
      <c r="N388" s="83"/>
      <c r="O388" s="83"/>
      <c r="P388" s="83"/>
      <c r="Q388" s="83"/>
      <c r="R388" s="83"/>
      <c r="S388" s="83"/>
      <c r="T388" s="83"/>
      <c r="U388" s="83"/>
      <c r="V388" s="83"/>
      <c r="W388" s="83"/>
      <c r="X388" s="83"/>
      <c r="Y388" s="83"/>
      <c r="Z388" s="114"/>
      <c r="AA388" s="115" t="str">
        <f t="shared" si="6"/>
        <v/>
      </c>
      <c r="AB388" s="115">
        <f t="shared" si="7"/>
        <v>0</v>
      </c>
      <c r="AC388" s="115">
        <f t="shared" si="8"/>
        <v>0</v>
      </c>
      <c r="AD388" s="115">
        <f t="shared" si="9"/>
        <v>0</v>
      </c>
    </row>
    <row r="389">
      <c r="A389" s="101"/>
      <c r="B389" s="121"/>
      <c r="C389" s="122"/>
      <c r="D389" s="103" t="str">
        <f t="shared" si="1"/>
        <v/>
      </c>
      <c r="E389" s="103" t="str">
        <f t="shared" si="2"/>
        <v/>
      </c>
      <c r="F389" s="103" t="str">
        <f t="shared" si="3"/>
        <v/>
      </c>
      <c r="G389" s="122"/>
      <c r="H389" s="103">
        <f t="shared" si="4"/>
        <v>0</v>
      </c>
      <c r="I389" s="108">
        <f t="shared" si="5"/>
        <v>0</v>
      </c>
      <c r="J389" s="114"/>
      <c r="K389" s="83"/>
      <c r="L389" s="83"/>
      <c r="M389" s="83"/>
      <c r="N389" s="83"/>
      <c r="O389" s="83"/>
      <c r="P389" s="83"/>
      <c r="Q389" s="83"/>
      <c r="R389" s="83"/>
      <c r="S389" s="83"/>
      <c r="T389" s="83"/>
      <c r="U389" s="83"/>
      <c r="V389" s="83"/>
      <c r="W389" s="83"/>
      <c r="X389" s="83"/>
      <c r="Y389" s="83"/>
      <c r="Z389" s="114"/>
      <c r="AA389" s="115" t="str">
        <f t="shared" si="6"/>
        <v/>
      </c>
      <c r="AB389" s="115">
        <f t="shared" si="7"/>
        <v>0</v>
      </c>
      <c r="AC389" s="115">
        <f t="shared" si="8"/>
        <v>0</v>
      </c>
      <c r="AD389" s="115">
        <f t="shared" si="9"/>
        <v>0</v>
      </c>
    </row>
    <row r="390">
      <c r="A390" s="101"/>
      <c r="B390" s="121"/>
      <c r="C390" s="122"/>
      <c r="D390" s="103" t="str">
        <f t="shared" si="1"/>
        <v/>
      </c>
      <c r="E390" s="103" t="str">
        <f t="shared" si="2"/>
        <v/>
      </c>
      <c r="F390" s="103" t="str">
        <f t="shared" si="3"/>
        <v/>
      </c>
      <c r="G390" s="122"/>
      <c r="H390" s="103">
        <f t="shared" si="4"/>
        <v>0</v>
      </c>
      <c r="I390" s="108">
        <f t="shared" si="5"/>
        <v>0</v>
      </c>
      <c r="J390" s="114"/>
      <c r="K390" s="83"/>
      <c r="L390" s="83"/>
      <c r="M390" s="83"/>
      <c r="N390" s="83"/>
      <c r="O390" s="83"/>
      <c r="P390" s="83"/>
      <c r="Q390" s="83"/>
      <c r="R390" s="83"/>
      <c r="S390" s="83"/>
      <c r="T390" s="83"/>
      <c r="U390" s="83"/>
      <c r="V390" s="83"/>
      <c r="W390" s="83"/>
      <c r="X390" s="83"/>
      <c r="Y390" s="83"/>
      <c r="Z390" s="114"/>
      <c r="AA390" s="115" t="str">
        <f t="shared" si="6"/>
        <v/>
      </c>
      <c r="AB390" s="115">
        <f t="shared" si="7"/>
        <v>0</v>
      </c>
      <c r="AC390" s="115">
        <f t="shared" si="8"/>
        <v>0</v>
      </c>
      <c r="AD390" s="115">
        <f t="shared" si="9"/>
        <v>0</v>
      </c>
    </row>
    <row r="391">
      <c r="A391" s="101"/>
      <c r="B391" s="121"/>
      <c r="C391" s="122"/>
      <c r="D391" s="103" t="str">
        <f t="shared" si="1"/>
        <v/>
      </c>
      <c r="E391" s="103" t="str">
        <f t="shared" si="2"/>
        <v/>
      </c>
      <c r="F391" s="103" t="str">
        <f t="shared" si="3"/>
        <v/>
      </c>
      <c r="G391" s="122"/>
      <c r="H391" s="103">
        <f t="shared" si="4"/>
        <v>0</v>
      </c>
      <c r="I391" s="108">
        <f t="shared" si="5"/>
        <v>0</v>
      </c>
      <c r="J391" s="114"/>
      <c r="K391" s="83"/>
      <c r="L391" s="83"/>
      <c r="M391" s="83"/>
      <c r="N391" s="83"/>
      <c r="O391" s="83"/>
      <c r="P391" s="83"/>
      <c r="Q391" s="83"/>
      <c r="R391" s="83"/>
      <c r="S391" s="83"/>
      <c r="T391" s="83"/>
      <c r="U391" s="83"/>
      <c r="V391" s="83"/>
      <c r="W391" s="83"/>
      <c r="X391" s="83"/>
      <c r="Y391" s="83"/>
      <c r="Z391" s="114"/>
      <c r="AA391" s="115" t="str">
        <f t="shared" si="6"/>
        <v/>
      </c>
      <c r="AB391" s="115">
        <f t="shared" si="7"/>
        <v>0</v>
      </c>
      <c r="AC391" s="115">
        <f t="shared" si="8"/>
        <v>0</v>
      </c>
      <c r="AD391" s="115">
        <f t="shared" si="9"/>
        <v>0</v>
      </c>
    </row>
    <row r="392">
      <c r="A392" s="101"/>
      <c r="B392" s="121"/>
      <c r="C392" s="122"/>
      <c r="D392" s="103" t="str">
        <f t="shared" si="1"/>
        <v/>
      </c>
      <c r="E392" s="103" t="str">
        <f t="shared" si="2"/>
        <v/>
      </c>
      <c r="F392" s="103" t="str">
        <f t="shared" si="3"/>
        <v/>
      </c>
      <c r="G392" s="122"/>
      <c r="H392" s="103">
        <f t="shared" si="4"/>
        <v>0</v>
      </c>
      <c r="I392" s="108">
        <f t="shared" si="5"/>
        <v>0</v>
      </c>
      <c r="J392" s="114"/>
      <c r="K392" s="83"/>
      <c r="L392" s="83"/>
      <c r="M392" s="83"/>
      <c r="N392" s="83"/>
      <c r="O392" s="83"/>
      <c r="P392" s="83"/>
      <c r="Q392" s="83"/>
      <c r="R392" s="83"/>
      <c r="S392" s="83"/>
      <c r="T392" s="83"/>
      <c r="U392" s="83"/>
      <c r="V392" s="83"/>
      <c r="W392" s="83"/>
      <c r="X392" s="83"/>
      <c r="Y392" s="83"/>
      <c r="Z392" s="114"/>
      <c r="AA392" s="115" t="str">
        <f t="shared" si="6"/>
        <v/>
      </c>
      <c r="AB392" s="115">
        <f t="shared" si="7"/>
        <v>0</v>
      </c>
      <c r="AC392" s="115">
        <f t="shared" si="8"/>
        <v>0</v>
      </c>
      <c r="AD392" s="115">
        <f t="shared" si="9"/>
        <v>0</v>
      </c>
    </row>
    <row r="393">
      <c r="A393" s="101"/>
      <c r="B393" s="121"/>
      <c r="C393" s="122"/>
      <c r="D393" s="103" t="str">
        <f t="shared" si="1"/>
        <v/>
      </c>
      <c r="E393" s="103" t="str">
        <f t="shared" si="2"/>
        <v/>
      </c>
      <c r="F393" s="103" t="str">
        <f t="shared" si="3"/>
        <v/>
      </c>
      <c r="G393" s="122"/>
      <c r="H393" s="103">
        <f t="shared" si="4"/>
        <v>0</v>
      </c>
      <c r="I393" s="108">
        <f t="shared" si="5"/>
        <v>0</v>
      </c>
      <c r="J393" s="114"/>
      <c r="K393" s="83"/>
      <c r="L393" s="83"/>
      <c r="M393" s="83"/>
      <c r="N393" s="83"/>
      <c r="O393" s="83"/>
      <c r="P393" s="83"/>
      <c r="Q393" s="83"/>
      <c r="R393" s="83"/>
      <c r="S393" s="83"/>
      <c r="T393" s="83"/>
      <c r="U393" s="83"/>
      <c r="V393" s="83"/>
      <c r="W393" s="83"/>
      <c r="X393" s="83"/>
      <c r="Y393" s="83"/>
      <c r="Z393" s="114"/>
      <c r="AA393" s="115" t="str">
        <f t="shared" si="6"/>
        <v/>
      </c>
      <c r="AB393" s="115">
        <f t="shared" si="7"/>
        <v>0</v>
      </c>
      <c r="AC393" s="115">
        <f t="shared" si="8"/>
        <v>0</v>
      </c>
      <c r="AD393" s="115">
        <f t="shared" si="9"/>
        <v>0</v>
      </c>
    </row>
    <row r="394">
      <c r="A394" s="101"/>
      <c r="B394" s="121"/>
      <c r="C394" s="122"/>
      <c r="D394" s="103" t="str">
        <f t="shared" si="1"/>
        <v/>
      </c>
      <c r="E394" s="103" t="str">
        <f t="shared" si="2"/>
        <v/>
      </c>
      <c r="F394" s="103" t="str">
        <f t="shared" si="3"/>
        <v/>
      </c>
      <c r="G394" s="122"/>
      <c r="H394" s="103">
        <f t="shared" si="4"/>
        <v>0</v>
      </c>
      <c r="I394" s="108">
        <f t="shared" si="5"/>
        <v>0</v>
      </c>
      <c r="J394" s="114"/>
      <c r="K394" s="83"/>
      <c r="L394" s="83"/>
      <c r="M394" s="83"/>
      <c r="N394" s="83"/>
      <c r="O394" s="83"/>
      <c r="P394" s="83"/>
      <c r="Q394" s="83"/>
      <c r="R394" s="83"/>
      <c r="S394" s="83"/>
      <c r="T394" s="83"/>
      <c r="U394" s="83"/>
      <c r="V394" s="83"/>
      <c r="W394" s="83"/>
      <c r="X394" s="83"/>
      <c r="Y394" s="83"/>
      <c r="Z394" s="114"/>
      <c r="AA394" s="115" t="str">
        <f t="shared" si="6"/>
        <v/>
      </c>
      <c r="AB394" s="115">
        <f t="shared" si="7"/>
        <v>0</v>
      </c>
      <c r="AC394" s="115">
        <f t="shared" si="8"/>
        <v>0</v>
      </c>
      <c r="AD394" s="115">
        <f t="shared" si="9"/>
        <v>0</v>
      </c>
    </row>
    <row r="395">
      <c r="A395" s="101"/>
      <c r="B395" s="121"/>
      <c r="C395" s="122"/>
      <c r="D395" s="103" t="str">
        <f t="shared" si="1"/>
        <v/>
      </c>
      <c r="E395" s="103" t="str">
        <f t="shared" si="2"/>
        <v/>
      </c>
      <c r="F395" s="103" t="str">
        <f t="shared" si="3"/>
        <v/>
      </c>
      <c r="G395" s="122"/>
      <c r="H395" s="103">
        <f t="shared" si="4"/>
        <v>0</v>
      </c>
      <c r="I395" s="108">
        <f t="shared" si="5"/>
        <v>0</v>
      </c>
      <c r="J395" s="114"/>
      <c r="K395" s="83"/>
      <c r="L395" s="83"/>
      <c r="M395" s="83"/>
      <c r="N395" s="83"/>
      <c r="O395" s="83"/>
      <c r="P395" s="83"/>
      <c r="Q395" s="83"/>
      <c r="R395" s="83"/>
      <c r="S395" s="83"/>
      <c r="T395" s="83"/>
      <c r="U395" s="83"/>
      <c r="V395" s="83"/>
      <c r="W395" s="83"/>
      <c r="X395" s="83"/>
      <c r="Y395" s="83"/>
      <c r="Z395" s="114"/>
      <c r="AA395" s="115" t="str">
        <f t="shared" si="6"/>
        <v/>
      </c>
      <c r="AB395" s="115">
        <f t="shared" si="7"/>
        <v>0</v>
      </c>
      <c r="AC395" s="115">
        <f t="shared" si="8"/>
        <v>0</v>
      </c>
      <c r="AD395" s="115">
        <f t="shared" si="9"/>
        <v>0</v>
      </c>
    </row>
    <row r="396">
      <c r="A396" s="101"/>
      <c r="B396" s="121"/>
      <c r="C396" s="122"/>
      <c r="D396" s="103" t="str">
        <f t="shared" si="1"/>
        <v/>
      </c>
      <c r="E396" s="103" t="str">
        <f t="shared" si="2"/>
        <v/>
      </c>
      <c r="F396" s="103" t="str">
        <f t="shared" si="3"/>
        <v/>
      </c>
      <c r="G396" s="122"/>
      <c r="H396" s="103">
        <f t="shared" si="4"/>
        <v>0</v>
      </c>
      <c r="I396" s="108">
        <f t="shared" si="5"/>
        <v>0</v>
      </c>
      <c r="J396" s="114"/>
      <c r="K396" s="83"/>
      <c r="L396" s="83"/>
      <c r="M396" s="83"/>
      <c r="N396" s="83"/>
      <c r="O396" s="83"/>
      <c r="P396" s="83"/>
      <c r="Q396" s="83"/>
      <c r="R396" s="83"/>
      <c r="S396" s="83"/>
      <c r="T396" s="83"/>
      <c r="U396" s="83"/>
      <c r="V396" s="83"/>
      <c r="W396" s="83"/>
      <c r="X396" s="83"/>
      <c r="Y396" s="83"/>
      <c r="Z396" s="114"/>
      <c r="AA396" s="115" t="str">
        <f t="shared" si="6"/>
        <v/>
      </c>
      <c r="AB396" s="115">
        <f t="shared" si="7"/>
        <v>0</v>
      </c>
      <c r="AC396" s="115">
        <f t="shared" si="8"/>
        <v>0</v>
      </c>
      <c r="AD396" s="115">
        <f t="shared" si="9"/>
        <v>0</v>
      </c>
    </row>
    <row r="397">
      <c r="A397" s="101"/>
      <c r="B397" s="121"/>
      <c r="C397" s="122"/>
      <c r="D397" s="103" t="str">
        <f t="shared" si="1"/>
        <v/>
      </c>
      <c r="E397" s="103" t="str">
        <f t="shared" si="2"/>
        <v/>
      </c>
      <c r="F397" s="103" t="str">
        <f t="shared" si="3"/>
        <v/>
      </c>
      <c r="G397" s="122"/>
      <c r="H397" s="103">
        <f t="shared" si="4"/>
        <v>0</v>
      </c>
      <c r="I397" s="108">
        <f t="shared" si="5"/>
        <v>0</v>
      </c>
      <c r="J397" s="114"/>
      <c r="K397" s="83"/>
      <c r="L397" s="83"/>
      <c r="M397" s="83"/>
      <c r="N397" s="83"/>
      <c r="O397" s="83"/>
      <c r="P397" s="83"/>
      <c r="Q397" s="83"/>
      <c r="R397" s="83"/>
      <c r="S397" s="83"/>
      <c r="T397" s="83"/>
      <c r="U397" s="83"/>
      <c r="V397" s="83"/>
      <c r="W397" s="83"/>
      <c r="X397" s="83"/>
      <c r="Y397" s="83"/>
      <c r="Z397" s="114"/>
      <c r="AA397" s="115" t="str">
        <f t="shared" si="6"/>
        <v/>
      </c>
      <c r="AB397" s="115">
        <f t="shared" si="7"/>
        <v>0</v>
      </c>
      <c r="AC397" s="115">
        <f t="shared" si="8"/>
        <v>0</v>
      </c>
      <c r="AD397" s="115">
        <f t="shared" si="9"/>
        <v>0</v>
      </c>
    </row>
    <row r="398">
      <c r="A398" s="101"/>
      <c r="B398" s="121"/>
      <c r="C398" s="122"/>
      <c r="D398" s="103" t="str">
        <f t="shared" si="1"/>
        <v/>
      </c>
      <c r="E398" s="103" t="str">
        <f t="shared" si="2"/>
        <v/>
      </c>
      <c r="F398" s="103" t="str">
        <f t="shared" si="3"/>
        <v/>
      </c>
      <c r="G398" s="122"/>
      <c r="H398" s="103">
        <f t="shared" si="4"/>
        <v>0</v>
      </c>
      <c r="I398" s="108">
        <f t="shared" si="5"/>
        <v>0</v>
      </c>
      <c r="J398" s="114"/>
      <c r="K398" s="83"/>
      <c r="L398" s="83"/>
      <c r="M398" s="83"/>
      <c r="N398" s="83"/>
      <c r="O398" s="83"/>
      <c r="P398" s="83"/>
      <c r="Q398" s="83"/>
      <c r="R398" s="83"/>
      <c r="S398" s="83"/>
      <c r="T398" s="83"/>
      <c r="U398" s="83"/>
      <c r="V398" s="83"/>
      <c r="W398" s="83"/>
      <c r="X398" s="83"/>
      <c r="Y398" s="83"/>
      <c r="Z398" s="114"/>
      <c r="AA398" s="115" t="str">
        <f t="shared" si="6"/>
        <v/>
      </c>
      <c r="AB398" s="115">
        <f t="shared" si="7"/>
        <v>0</v>
      </c>
      <c r="AC398" s="115">
        <f t="shared" si="8"/>
        <v>0</v>
      </c>
      <c r="AD398" s="115">
        <f t="shared" si="9"/>
        <v>0</v>
      </c>
    </row>
    <row r="399">
      <c r="A399" s="101"/>
      <c r="B399" s="121"/>
      <c r="C399" s="122"/>
      <c r="D399" s="103" t="str">
        <f t="shared" si="1"/>
        <v/>
      </c>
      <c r="E399" s="103" t="str">
        <f t="shared" si="2"/>
        <v/>
      </c>
      <c r="F399" s="103" t="str">
        <f t="shared" si="3"/>
        <v/>
      </c>
      <c r="G399" s="122"/>
      <c r="H399" s="103">
        <f t="shared" si="4"/>
        <v>0</v>
      </c>
      <c r="I399" s="108">
        <f t="shared" si="5"/>
        <v>0</v>
      </c>
      <c r="J399" s="114"/>
      <c r="K399" s="83"/>
      <c r="L399" s="83"/>
      <c r="M399" s="83"/>
      <c r="N399" s="83"/>
      <c r="O399" s="83"/>
      <c r="P399" s="83"/>
      <c r="Q399" s="83"/>
      <c r="R399" s="83"/>
      <c r="S399" s="83"/>
      <c r="T399" s="83"/>
      <c r="U399" s="83"/>
      <c r="V399" s="83"/>
      <c r="W399" s="83"/>
      <c r="X399" s="83"/>
      <c r="Y399" s="83"/>
      <c r="Z399" s="114"/>
      <c r="AA399" s="115" t="str">
        <f t="shared" si="6"/>
        <v/>
      </c>
      <c r="AB399" s="115">
        <f t="shared" si="7"/>
        <v>0</v>
      </c>
      <c r="AC399" s="115">
        <f t="shared" si="8"/>
        <v>0</v>
      </c>
      <c r="AD399" s="115">
        <f t="shared" si="9"/>
        <v>0</v>
      </c>
    </row>
    <row r="400">
      <c r="A400" s="101"/>
      <c r="B400" s="121"/>
      <c r="C400" s="122"/>
      <c r="D400" s="103" t="str">
        <f t="shared" si="1"/>
        <v/>
      </c>
      <c r="E400" s="103" t="str">
        <f t="shared" si="2"/>
        <v/>
      </c>
      <c r="F400" s="103" t="str">
        <f t="shared" si="3"/>
        <v/>
      </c>
      <c r="G400" s="122"/>
      <c r="H400" s="103">
        <f t="shared" si="4"/>
        <v>0</v>
      </c>
      <c r="I400" s="108">
        <f t="shared" si="5"/>
        <v>0</v>
      </c>
      <c r="J400" s="114"/>
      <c r="K400" s="83"/>
      <c r="L400" s="83"/>
      <c r="M400" s="83"/>
      <c r="N400" s="83"/>
      <c r="O400" s="83"/>
      <c r="P400" s="83"/>
      <c r="Q400" s="83"/>
      <c r="R400" s="83"/>
      <c r="S400" s="83"/>
      <c r="T400" s="83"/>
      <c r="U400" s="83"/>
      <c r="V400" s="83"/>
      <c r="W400" s="83"/>
      <c r="X400" s="83"/>
      <c r="Y400" s="83"/>
      <c r="Z400" s="114"/>
      <c r="AA400" s="115" t="str">
        <f t="shared" si="6"/>
        <v/>
      </c>
      <c r="AB400" s="115">
        <f t="shared" si="7"/>
        <v>0</v>
      </c>
      <c r="AC400" s="115">
        <f t="shared" si="8"/>
        <v>0</v>
      </c>
      <c r="AD400" s="115">
        <f t="shared" si="9"/>
        <v>0</v>
      </c>
    </row>
    <row r="401">
      <c r="A401" s="101"/>
      <c r="B401" s="121"/>
      <c r="C401" s="122"/>
      <c r="D401" s="103" t="str">
        <f t="shared" si="1"/>
        <v/>
      </c>
      <c r="E401" s="103" t="str">
        <f t="shared" si="2"/>
        <v/>
      </c>
      <c r="F401" s="103" t="str">
        <f t="shared" si="3"/>
        <v/>
      </c>
      <c r="G401" s="122"/>
      <c r="H401" s="103">
        <f t="shared" si="4"/>
        <v>0</v>
      </c>
      <c r="I401" s="108">
        <f t="shared" si="5"/>
        <v>0</v>
      </c>
      <c r="J401" s="114"/>
      <c r="K401" s="83"/>
      <c r="L401" s="83"/>
      <c r="M401" s="83"/>
      <c r="N401" s="83"/>
      <c r="O401" s="83"/>
      <c r="P401" s="83"/>
      <c r="Q401" s="83"/>
      <c r="R401" s="83"/>
      <c r="S401" s="83"/>
      <c r="T401" s="83"/>
      <c r="U401" s="83"/>
      <c r="V401" s="83"/>
      <c r="W401" s="83"/>
      <c r="X401" s="83"/>
      <c r="Y401" s="83"/>
      <c r="Z401" s="114"/>
      <c r="AA401" s="115" t="str">
        <f t="shared" si="6"/>
        <v/>
      </c>
      <c r="AB401" s="115">
        <f t="shared" si="7"/>
        <v>0</v>
      </c>
      <c r="AC401" s="115">
        <f t="shared" si="8"/>
        <v>0</v>
      </c>
      <c r="AD401" s="115">
        <f t="shared" si="9"/>
        <v>0</v>
      </c>
    </row>
    <row r="402">
      <c r="A402" s="101"/>
      <c r="B402" s="121"/>
      <c r="C402" s="122"/>
      <c r="D402" s="103" t="str">
        <f t="shared" si="1"/>
        <v/>
      </c>
      <c r="E402" s="103" t="str">
        <f t="shared" si="2"/>
        <v/>
      </c>
      <c r="F402" s="103" t="str">
        <f t="shared" si="3"/>
        <v/>
      </c>
      <c r="G402" s="122"/>
      <c r="H402" s="103">
        <f t="shared" si="4"/>
        <v>0</v>
      </c>
      <c r="I402" s="108">
        <f t="shared" si="5"/>
        <v>0</v>
      </c>
      <c r="J402" s="114"/>
      <c r="K402" s="83"/>
      <c r="L402" s="83"/>
      <c r="M402" s="83"/>
      <c r="N402" s="83"/>
      <c r="O402" s="83"/>
      <c r="P402" s="83"/>
      <c r="Q402" s="83"/>
      <c r="R402" s="83"/>
      <c r="S402" s="83"/>
      <c r="T402" s="83"/>
      <c r="U402" s="83"/>
      <c r="V402" s="83"/>
      <c r="W402" s="83"/>
      <c r="X402" s="83"/>
      <c r="Y402" s="83"/>
      <c r="Z402" s="114"/>
      <c r="AA402" s="115" t="str">
        <f t="shared" si="6"/>
        <v/>
      </c>
      <c r="AB402" s="115">
        <f t="shared" si="7"/>
        <v>0</v>
      </c>
      <c r="AC402" s="115">
        <f t="shared" si="8"/>
        <v>0</v>
      </c>
      <c r="AD402" s="115">
        <f t="shared" si="9"/>
        <v>0</v>
      </c>
    </row>
    <row r="403">
      <c r="A403" s="101"/>
      <c r="B403" s="121"/>
      <c r="C403" s="122"/>
      <c r="D403" s="103" t="str">
        <f t="shared" si="1"/>
        <v/>
      </c>
      <c r="E403" s="103" t="str">
        <f t="shared" si="2"/>
        <v/>
      </c>
      <c r="F403" s="103" t="str">
        <f t="shared" si="3"/>
        <v/>
      </c>
      <c r="G403" s="122"/>
      <c r="H403" s="103">
        <f t="shared" si="4"/>
        <v>0</v>
      </c>
      <c r="I403" s="108">
        <f t="shared" si="5"/>
        <v>0</v>
      </c>
      <c r="J403" s="114"/>
      <c r="K403" s="83"/>
      <c r="L403" s="83"/>
      <c r="M403" s="83"/>
      <c r="N403" s="83"/>
      <c r="O403" s="83"/>
      <c r="P403" s="83"/>
      <c r="Q403" s="83"/>
      <c r="R403" s="83"/>
      <c r="S403" s="83"/>
      <c r="T403" s="83"/>
      <c r="U403" s="83"/>
      <c r="V403" s="83"/>
      <c r="W403" s="83"/>
      <c r="X403" s="83"/>
      <c r="Y403" s="83"/>
      <c r="Z403" s="114"/>
      <c r="AA403" s="115" t="str">
        <f t="shared" si="6"/>
        <v/>
      </c>
      <c r="AB403" s="115">
        <f t="shared" si="7"/>
        <v>0</v>
      </c>
      <c r="AC403" s="115">
        <f t="shared" si="8"/>
        <v>0</v>
      </c>
      <c r="AD403" s="115">
        <f t="shared" si="9"/>
        <v>0</v>
      </c>
    </row>
    <row r="404">
      <c r="A404" s="101"/>
      <c r="B404" s="121"/>
      <c r="C404" s="122"/>
      <c r="D404" s="103" t="str">
        <f t="shared" si="1"/>
        <v/>
      </c>
      <c r="E404" s="103" t="str">
        <f t="shared" si="2"/>
        <v/>
      </c>
      <c r="F404" s="103" t="str">
        <f t="shared" si="3"/>
        <v/>
      </c>
      <c r="G404" s="122"/>
      <c r="H404" s="103">
        <f t="shared" si="4"/>
        <v>0</v>
      </c>
      <c r="I404" s="108">
        <f t="shared" si="5"/>
        <v>0</v>
      </c>
      <c r="J404" s="114"/>
      <c r="K404" s="83"/>
      <c r="L404" s="83"/>
      <c r="M404" s="83"/>
      <c r="N404" s="83"/>
      <c r="O404" s="83"/>
      <c r="P404" s="83"/>
      <c r="Q404" s="83"/>
      <c r="R404" s="83"/>
      <c r="S404" s="83"/>
      <c r="T404" s="83"/>
      <c r="U404" s="83"/>
      <c r="V404" s="83"/>
      <c r="W404" s="83"/>
      <c r="X404" s="83"/>
      <c r="Y404" s="83"/>
      <c r="Z404" s="114"/>
      <c r="AA404" s="115" t="str">
        <f t="shared" si="6"/>
        <v/>
      </c>
      <c r="AB404" s="115">
        <f t="shared" si="7"/>
        <v>0</v>
      </c>
      <c r="AC404" s="115">
        <f t="shared" si="8"/>
        <v>0</v>
      </c>
      <c r="AD404" s="115">
        <f t="shared" si="9"/>
        <v>0</v>
      </c>
    </row>
    <row r="405">
      <c r="A405" s="101"/>
      <c r="B405" s="121"/>
      <c r="C405" s="122"/>
      <c r="D405" s="103" t="str">
        <f t="shared" si="1"/>
        <v/>
      </c>
      <c r="E405" s="103" t="str">
        <f t="shared" si="2"/>
        <v/>
      </c>
      <c r="F405" s="103" t="str">
        <f t="shared" si="3"/>
        <v/>
      </c>
      <c r="G405" s="122"/>
      <c r="H405" s="103">
        <f t="shared" si="4"/>
        <v>0</v>
      </c>
      <c r="I405" s="108">
        <f t="shared" si="5"/>
        <v>0</v>
      </c>
      <c r="J405" s="114"/>
      <c r="K405" s="83"/>
      <c r="L405" s="83"/>
      <c r="M405" s="83"/>
      <c r="N405" s="83"/>
      <c r="O405" s="83"/>
      <c r="P405" s="83"/>
      <c r="Q405" s="83"/>
      <c r="R405" s="83"/>
      <c r="S405" s="83"/>
      <c r="T405" s="83"/>
      <c r="U405" s="83"/>
      <c r="V405" s="83"/>
      <c r="W405" s="83"/>
      <c r="X405" s="83"/>
      <c r="Y405" s="83"/>
      <c r="Z405" s="114"/>
      <c r="AA405" s="115" t="str">
        <f t="shared" si="6"/>
        <v/>
      </c>
      <c r="AB405" s="115">
        <f t="shared" si="7"/>
        <v>0</v>
      </c>
      <c r="AC405" s="115">
        <f t="shared" si="8"/>
        <v>0</v>
      </c>
      <c r="AD405" s="115">
        <f t="shared" si="9"/>
        <v>0</v>
      </c>
    </row>
    <row r="406">
      <c r="A406" s="101"/>
      <c r="B406" s="121"/>
      <c r="C406" s="122"/>
      <c r="D406" s="103" t="str">
        <f t="shared" si="1"/>
        <v/>
      </c>
      <c r="E406" s="103" t="str">
        <f t="shared" si="2"/>
        <v/>
      </c>
      <c r="F406" s="103" t="str">
        <f t="shared" si="3"/>
        <v/>
      </c>
      <c r="G406" s="122"/>
      <c r="H406" s="103">
        <f t="shared" si="4"/>
        <v>0</v>
      </c>
      <c r="I406" s="108">
        <f t="shared" si="5"/>
        <v>0</v>
      </c>
      <c r="J406" s="114"/>
      <c r="K406" s="83"/>
      <c r="L406" s="83"/>
      <c r="M406" s="83"/>
      <c r="N406" s="83"/>
      <c r="O406" s="83"/>
      <c r="P406" s="83"/>
      <c r="Q406" s="83"/>
      <c r="R406" s="83"/>
      <c r="S406" s="83"/>
      <c r="T406" s="83"/>
      <c r="U406" s="83"/>
      <c r="V406" s="83"/>
      <c r="W406" s="83"/>
      <c r="X406" s="83"/>
      <c r="Y406" s="83"/>
      <c r="Z406" s="114"/>
      <c r="AA406" s="115" t="str">
        <f t="shared" si="6"/>
        <v/>
      </c>
      <c r="AB406" s="115">
        <f t="shared" si="7"/>
        <v>0</v>
      </c>
      <c r="AC406" s="115">
        <f t="shared" si="8"/>
        <v>0</v>
      </c>
      <c r="AD406" s="115">
        <f t="shared" si="9"/>
        <v>0</v>
      </c>
    </row>
    <row r="407">
      <c r="A407" s="101"/>
      <c r="B407" s="121"/>
      <c r="C407" s="122"/>
      <c r="D407" s="103" t="str">
        <f t="shared" si="1"/>
        <v/>
      </c>
      <c r="E407" s="103" t="str">
        <f t="shared" si="2"/>
        <v/>
      </c>
      <c r="F407" s="103" t="str">
        <f t="shared" si="3"/>
        <v/>
      </c>
      <c r="G407" s="122"/>
      <c r="H407" s="103">
        <f t="shared" si="4"/>
        <v>0</v>
      </c>
      <c r="I407" s="108">
        <f t="shared" si="5"/>
        <v>0</v>
      </c>
      <c r="J407" s="114"/>
      <c r="K407" s="83"/>
      <c r="L407" s="83"/>
      <c r="M407" s="83"/>
      <c r="N407" s="83"/>
      <c r="O407" s="83"/>
      <c r="P407" s="83"/>
      <c r="Q407" s="83"/>
      <c r="R407" s="83"/>
      <c r="S407" s="83"/>
      <c r="T407" s="83"/>
      <c r="U407" s="83"/>
      <c r="V407" s="83"/>
      <c r="W407" s="83"/>
      <c r="X407" s="83"/>
      <c r="Y407" s="83"/>
      <c r="Z407" s="114"/>
      <c r="AA407" s="115" t="str">
        <f t="shared" si="6"/>
        <v/>
      </c>
      <c r="AB407" s="115">
        <f t="shared" si="7"/>
        <v>0</v>
      </c>
      <c r="AC407" s="115">
        <f t="shared" si="8"/>
        <v>0</v>
      </c>
      <c r="AD407" s="115">
        <f t="shared" si="9"/>
        <v>0</v>
      </c>
    </row>
    <row r="408">
      <c r="A408" s="101"/>
      <c r="B408" s="121"/>
      <c r="C408" s="122"/>
      <c r="D408" s="103" t="str">
        <f t="shared" si="1"/>
        <v/>
      </c>
      <c r="E408" s="103" t="str">
        <f t="shared" si="2"/>
        <v/>
      </c>
      <c r="F408" s="103" t="str">
        <f t="shared" si="3"/>
        <v/>
      </c>
      <c r="G408" s="122"/>
      <c r="H408" s="103">
        <f t="shared" si="4"/>
        <v>0</v>
      </c>
      <c r="I408" s="108">
        <f t="shared" si="5"/>
        <v>0</v>
      </c>
      <c r="J408" s="114"/>
      <c r="K408" s="83"/>
      <c r="L408" s="83"/>
      <c r="M408" s="83"/>
      <c r="N408" s="83"/>
      <c r="O408" s="83"/>
      <c r="P408" s="83"/>
      <c r="Q408" s="83"/>
      <c r="R408" s="83"/>
      <c r="S408" s="83"/>
      <c r="T408" s="83"/>
      <c r="U408" s="83"/>
      <c r="V408" s="83"/>
      <c r="W408" s="83"/>
      <c r="X408" s="83"/>
      <c r="Y408" s="83"/>
      <c r="Z408" s="114"/>
      <c r="AA408" s="115" t="str">
        <f t="shared" si="6"/>
        <v/>
      </c>
      <c r="AB408" s="115">
        <f t="shared" si="7"/>
        <v>0</v>
      </c>
      <c r="AC408" s="115">
        <f t="shared" si="8"/>
        <v>0</v>
      </c>
      <c r="AD408" s="115">
        <f t="shared" si="9"/>
        <v>0</v>
      </c>
    </row>
    <row r="409">
      <c r="A409" s="101"/>
      <c r="B409" s="121"/>
      <c r="C409" s="122"/>
      <c r="D409" s="103" t="str">
        <f t="shared" si="1"/>
        <v/>
      </c>
      <c r="E409" s="103" t="str">
        <f t="shared" si="2"/>
        <v/>
      </c>
      <c r="F409" s="103" t="str">
        <f t="shared" si="3"/>
        <v/>
      </c>
      <c r="G409" s="122"/>
      <c r="H409" s="103">
        <f t="shared" si="4"/>
        <v>0</v>
      </c>
      <c r="I409" s="108">
        <f t="shared" si="5"/>
        <v>0</v>
      </c>
      <c r="J409" s="114"/>
      <c r="K409" s="83"/>
      <c r="L409" s="83"/>
      <c r="M409" s="83"/>
      <c r="N409" s="83"/>
      <c r="O409" s="83"/>
      <c r="P409" s="83"/>
      <c r="Q409" s="83"/>
      <c r="R409" s="83"/>
      <c r="S409" s="83"/>
      <c r="T409" s="83"/>
      <c r="U409" s="83"/>
      <c r="V409" s="83"/>
      <c r="W409" s="83"/>
      <c r="X409" s="83"/>
      <c r="Y409" s="83"/>
      <c r="Z409" s="114"/>
      <c r="AA409" s="115" t="str">
        <f t="shared" si="6"/>
        <v/>
      </c>
      <c r="AB409" s="115">
        <f t="shared" si="7"/>
        <v>0</v>
      </c>
      <c r="AC409" s="115">
        <f t="shared" si="8"/>
        <v>0</v>
      </c>
      <c r="AD409" s="115">
        <f t="shared" si="9"/>
        <v>0</v>
      </c>
    </row>
    <row r="410">
      <c r="A410" s="101"/>
      <c r="B410" s="121"/>
      <c r="C410" s="122"/>
      <c r="D410" s="103" t="str">
        <f t="shared" si="1"/>
        <v/>
      </c>
      <c r="E410" s="103" t="str">
        <f t="shared" si="2"/>
        <v/>
      </c>
      <c r="F410" s="103" t="str">
        <f t="shared" si="3"/>
        <v/>
      </c>
      <c r="G410" s="122"/>
      <c r="H410" s="103">
        <f t="shared" si="4"/>
        <v>0</v>
      </c>
      <c r="I410" s="108">
        <f t="shared" si="5"/>
        <v>0</v>
      </c>
      <c r="J410" s="114"/>
      <c r="K410" s="83"/>
      <c r="L410" s="83"/>
      <c r="M410" s="83"/>
      <c r="N410" s="83"/>
      <c r="O410" s="83"/>
      <c r="P410" s="83"/>
      <c r="Q410" s="83"/>
      <c r="R410" s="83"/>
      <c r="S410" s="83"/>
      <c r="T410" s="83"/>
      <c r="U410" s="83"/>
      <c r="V410" s="83"/>
      <c r="W410" s="83"/>
      <c r="X410" s="83"/>
      <c r="Y410" s="83"/>
      <c r="Z410" s="114"/>
      <c r="AA410" s="115" t="str">
        <f t="shared" si="6"/>
        <v/>
      </c>
      <c r="AB410" s="115">
        <f t="shared" si="7"/>
        <v>0</v>
      </c>
      <c r="AC410" s="115">
        <f t="shared" si="8"/>
        <v>0</v>
      </c>
      <c r="AD410" s="115">
        <f t="shared" si="9"/>
        <v>0</v>
      </c>
    </row>
    <row r="411">
      <c r="A411" s="101"/>
      <c r="B411" s="121"/>
      <c r="C411" s="122"/>
      <c r="D411" s="103" t="str">
        <f t="shared" si="1"/>
        <v/>
      </c>
      <c r="E411" s="103" t="str">
        <f t="shared" si="2"/>
        <v/>
      </c>
      <c r="F411" s="103" t="str">
        <f t="shared" si="3"/>
        <v/>
      </c>
      <c r="G411" s="122"/>
      <c r="H411" s="103">
        <f t="shared" si="4"/>
        <v>0</v>
      </c>
      <c r="I411" s="108">
        <f t="shared" si="5"/>
        <v>0</v>
      </c>
      <c r="J411" s="114"/>
      <c r="K411" s="83"/>
      <c r="L411" s="83"/>
      <c r="M411" s="83"/>
      <c r="N411" s="83"/>
      <c r="O411" s="83"/>
      <c r="P411" s="83"/>
      <c r="Q411" s="83"/>
      <c r="R411" s="83"/>
      <c r="S411" s="83"/>
      <c r="T411" s="83"/>
      <c r="U411" s="83"/>
      <c r="V411" s="83"/>
      <c r="W411" s="83"/>
      <c r="X411" s="83"/>
      <c r="Y411" s="83"/>
      <c r="Z411" s="114"/>
      <c r="AA411" s="115" t="str">
        <f t="shared" si="6"/>
        <v/>
      </c>
      <c r="AB411" s="115">
        <f t="shared" si="7"/>
        <v>0</v>
      </c>
      <c r="AC411" s="115">
        <f t="shared" si="8"/>
        <v>0</v>
      </c>
      <c r="AD411" s="115">
        <f t="shared" si="9"/>
        <v>0</v>
      </c>
    </row>
    <row r="412">
      <c r="A412" s="101"/>
      <c r="B412" s="121"/>
      <c r="C412" s="122"/>
      <c r="D412" s="103" t="str">
        <f t="shared" si="1"/>
        <v/>
      </c>
      <c r="E412" s="103" t="str">
        <f t="shared" si="2"/>
        <v/>
      </c>
      <c r="F412" s="103" t="str">
        <f t="shared" si="3"/>
        <v/>
      </c>
      <c r="G412" s="122"/>
      <c r="H412" s="103">
        <f t="shared" si="4"/>
        <v>0</v>
      </c>
      <c r="I412" s="108">
        <f t="shared" si="5"/>
        <v>0</v>
      </c>
      <c r="J412" s="114"/>
      <c r="K412" s="83"/>
      <c r="L412" s="83"/>
      <c r="M412" s="83"/>
      <c r="N412" s="83"/>
      <c r="O412" s="83"/>
      <c r="P412" s="83"/>
      <c r="Q412" s="83"/>
      <c r="R412" s="83"/>
      <c r="S412" s="83"/>
      <c r="T412" s="83"/>
      <c r="U412" s="83"/>
      <c r="V412" s="83"/>
      <c r="W412" s="83"/>
      <c r="X412" s="83"/>
      <c r="Y412" s="83"/>
      <c r="Z412" s="114"/>
      <c r="AA412" s="115" t="str">
        <f t="shared" si="6"/>
        <v/>
      </c>
      <c r="AB412" s="115">
        <f t="shared" si="7"/>
        <v>0</v>
      </c>
      <c r="AC412" s="115">
        <f t="shared" si="8"/>
        <v>0</v>
      </c>
      <c r="AD412" s="115">
        <f t="shared" si="9"/>
        <v>0</v>
      </c>
    </row>
    <row r="413">
      <c r="A413" s="101"/>
      <c r="B413" s="121"/>
      <c r="C413" s="122"/>
      <c r="D413" s="103" t="str">
        <f t="shared" si="1"/>
        <v/>
      </c>
      <c r="E413" s="103" t="str">
        <f t="shared" si="2"/>
        <v/>
      </c>
      <c r="F413" s="103" t="str">
        <f t="shared" si="3"/>
        <v/>
      </c>
      <c r="G413" s="122"/>
      <c r="H413" s="103">
        <f t="shared" si="4"/>
        <v>0</v>
      </c>
      <c r="I413" s="108">
        <f t="shared" si="5"/>
        <v>0</v>
      </c>
      <c r="J413" s="114"/>
      <c r="K413" s="83"/>
      <c r="L413" s="83"/>
      <c r="M413" s="83"/>
      <c r="N413" s="83"/>
      <c r="O413" s="83"/>
      <c r="P413" s="83"/>
      <c r="Q413" s="83"/>
      <c r="R413" s="83"/>
      <c r="S413" s="83"/>
      <c r="T413" s="83"/>
      <c r="U413" s="83"/>
      <c r="V413" s="83"/>
      <c r="W413" s="83"/>
      <c r="X413" s="83"/>
      <c r="Y413" s="83"/>
      <c r="Z413" s="114"/>
      <c r="AA413" s="115" t="str">
        <f t="shared" si="6"/>
        <v/>
      </c>
      <c r="AB413" s="115">
        <f t="shared" si="7"/>
        <v>0</v>
      </c>
      <c r="AC413" s="115">
        <f t="shared" si="8"/>
        <v>0</v>
      </c>
      <c r="AD413" s="115">
        <f t="shared" si="9"/>
        <v>0</v>
      </c>
    </row>
    <row r="414">
      <c r="A414" s="101"/>
      <c r="B414" s="121"/>
      <c r="C414" s="122"/>
      <c r="D414" s="103" t="str">
        <f t="shared" si="1"/>
        <v/>
      </c>
      <c r="E414" s="103" t="str">
        <f t="shared" si="2"/>
        <v/>
      </c>
      <c r="F414" s="103" t="str">
        <f t="shared" si="3"/>
        <v/>
      </c>
      <c r="G414" s="122"/>
      <c r="H414" s="103">
        <f t="shared" si="4"/>
        <v>0</v>
      </c>
      <c r="I414" s="108">
        <f t="shared" si="5"/>
        <v>0</v>
      </c>
      <c r="J414" s="114"/>
      <c r="K414" s="83"/>
      <c r="L414" s="83"/>
      <c r="M414" s="83"/>
      <c r="N414" s="83"/>
      <c r="O414" s="83"/>
      <c r="P414" s="83"/>
      <c r="Q414" s="83"/>
      <c r="R414" s="83"/>
      <c r="S414" s="83"/>
      <c r="T414" s="83"/>
      <c r="U414" s="83"/>
      <c r="V414" s="83"/>
      <c r="W414" s="83"/>
      <c r="X414" s="83"/>
      <c r="Y414" s="83"/>
      <c r="Z414" s="114"/>
      <c r="AA414" s="115" t="str">
        <f t="shared" si="6"/>
        <v/>
      </c>
      <c r="AB414" s="115">
        <f t="shared" si="7"/>
        <v>0</v>
      </c>
      <c r="AC414" s="115">
        <f t="shared" si="8"/>
        <v>0</v>
      </c>
      <c r="AD414" s="115">
        <f t="shared" si="9"/>
        <v>0</v>
      </c>
    </row>
    <row r="415">
      <c r="A415" s="101"/>
      <c r="B415" s="121"/>
      <c r="C415" s="122"/>
      <c r="D415" s="103" t="str">
        <f t="shared" si="1"/>
        <v/>
      </c>
      <c r="E415" s="103" t="str">
        <f t="shared" si="2"/>
        <v/>
      </c>
      <c r="F415" s="103" t="str">
        <f t="shared" si="3"/>
        <v/>
      </c>
      <c r="G415" s="122"/>
      <c r="H415" s="103">
        <f t="shared" si="4"/>
        <v>0</v>
      </c>
      <c r="I415" s="108">
        <f t="shared" si="5"/>
        <v>0</v>
      </c>
      <c r="J415" s="114"/>
      <c r="K415" s="83"/>
      <c r="L415" s="83"/>
      <c r="M415" s="83"/>
      <c r="N415" s="83"/>
      <c r="O415" s="83"/>
      <c r="P415" s="83"/>
      <c r="Q415" s="83"/>
      <c r="R415" s="83"/>
      <c r="S415" s="83"/>
      <c r="T415" s="83"/>
      <c r="U415" s="83"/>
      <c r="V415" s="83"/>
      <c r="W415" s="83"/>
      <c r="X415" s="83"/>
      <c r="Y415" s="83"/>
      <c r="Z415" s="114"/>
      <c r="AA415" s="115" t="str">
        <f t="shared" si="6"/>
        <v/>
      </c>
      <c r="AB415" s="115">
        <f t="shared" si="7"/>
        <v>0</v>
      </c>
      <c r="AC415" s="115">
        <f t="shared" si="8"/>
        <v>0</v>
      </c>
      <c r="AD415" s="115">
        <f t="shared" si="9"/>
        <v>0</v>
      </c>
    </row>
    <row r="416">
      <c r="A416" s="101"/>
      <c r="B416" s="121"/>
      <c r="C416" s="122"/>
      <c r="D416" s="103" t="str">
        <f t="shared" si="1"/>
        <v/>
      </c>
      <c r="E416" s="103" t="str">
        <f t="shared" si="2"/>
        <v/>
      </c>
      <c r="F416" s="103" t="str">
        <f t="shared" si="3"/>
        <v/>
      </c>
      <c r="G416" s="122"/>
      <c r="H416" s="103">
        <f t="shared" si="4"/>
        <v>0</v>
      </c>
      <c r="I416" s="108">
        <f t="shared" si="5"/>
        <v>0</v>
      </c>
      <c r="J416" s="114"/>
      <c r="K416" s="83"/>
      <c r="L416" s="83"/>
      <c r="M416" s="83"/>
      <c r="N416" s="83"/>
      <c r="O416" s="83"/>
      <c r="P416" s="83"/>
      <c r="Q416" s="83"/>
      <c r="R416" s="83"/>
      <c r="S416" s="83"/>
      <c r="T416" s="83"/>
      <c r="U416" s="83"/>
      <c r="V416" s="83"/>
      <c r="W416" s="83"/>
      <c r="X416" s="83"/>
      <c r="Y416" s="83"/>
      <c r="Z416" s="114"/>
      <c r="AA416" s="115" t="str">
        <f t="shared" si="6"/>
        <v/>
      </c>
      <c r="AB416" s="115">
        <f t="shared" si="7"/>
        <v>0</v>
      </c>
      <c r="AC416" s="115">
        <f t="shared" si="8"/>
        <v>0</v>
      </c>
      <c r="AD416" s="115">
        <f t="shared" si="9"/>
        <v>0</v>
      </c>
    </row>
    <row r="417">
      <c r="A417" s="101"/>
      <c r="B417" s="121"/>
      <c r="C417" s="122"/>
      <c r="D417" s="103" t="str">
        <f t="shared" si="1"/>
        <v/>
      </c>
      <c r="E417" s="103" t="str">
        <f t="shared" si="2"/>
        <v/>
      </c>
      <c r="F417" s="103" t="str">
        <f t="shared" si="3"/>
        <v/>
      </c>
      <c r="G417" s="122"/>
      <c r="H417" s="103">
        <f t="shared" si="4"/>
        <v>0</v>
      </c>
      <c r="I417" s="108">
        <f t="shared" si="5"/>
        <v>0</v>
      </c>
      <c r="J417" s="114"/>
      <c r="K417" s="83"/>
      <c r="L417" s="83"/>
      <c r="M417" s="83"/>
      <c r="N417" s="83"/>
      <c r="O417" s="83"/>
      <c r="P417" s="83"/>
      <c r="Q417" s="83"/>
      <c r="R417" s="83"/>
      <c r="S417" s="83"/>
      <c r="T417" s="83"/>
      <c r="U417" s="83"/>
      <c r="V417" s="83"/>
      <c r="W417" s="83"/>
      <c r="X417" s="83"/>
      <c r="Y417" s="83"/>
      <c r="Z417" s="114"/>
      <c r="AA417" s="115" t="str">
        <f t="shared" si="6"/>
        <v/>
      </c>
      <c r="AB417" s="115">
        <f t="shared" si="7"/>
        <v>0</v>
      </c>
      <c r="AC417" s="115">
        <f t="shared" si="8"/>
        <v>0</v>
      </c>
      <c r="AD417" s="115">
        <f t="shared" si="9"/>
        <v>0</v>
      </c>
    </row>
    <row r="418">
      <c r="A418" s="101"/>
      <c r="B418" s="121"/>
      <c r="C418" s="122"/>
      <c r="D418" s="103" t="str">
        <f t="shared" si="1"/>
        <v/>
      </c>
      <c r="E418" s="103" t="str">
        <f t="shared" si="2"/>
        <v/>
      </c>
      <c r="F418" s="103" t="str">
        <f t="shared" si="3"/>
        <v/>
      </c>
      <c r="G418" s="122"/>
      <c r="H418" s="103">
        <f t="shared" si="4"/>
        <v>0</v>
      </c>
      <c r="I418" s="108">
        <f t="shared" si="5"/>
        <v>0</v>
      </c>
      <c r="J418" s="114"/>
      <c r="K418" s="83"/>
      <c r="L418" s="83"/>
      <c r="M418" s="83"/>
      <c r="N418" s="83"/>
      <c r="O418" s="83"/>
      <c r="P418" s="83"/>
      <c r="Q418" s="83"/>
      <c r="R418" s="83"/>
      <c r="S418" s="83"/>
      <c r="T418" s="83"/>
      <c r="U418" s="83"/>
      <c r="V418" s="83"/>
      <c r="W418" s="83"/>
      <c r="X418" s="83"/>
      <c r="Y418" s="83"/>
      <c r="Z418" s="114"/>
      <c r="AA418" s="115" t="str">
        <f t="shared" si="6"/>
        <v/>
      </c>
      <c r="AB418" s="115">
        <f t="shared" si="7"/>
        <v>0</v>
      </c>
      <c r="AC418" s="115">
        <f t="shared" si="8"/>
        <v>0</v>
      </c>
      <c r="AD418" s="115">
        <f t="shared" si="9"/>
        <v>0</v>
      </c>
    </row>
    <row r="419">
      <c r="A419" s="101"/>
      <c r="B419" s="121"/>
      <c r="C419" s="122"/>
      <c r="D419" s="103" t="str">
        <f t="shared" si="1"/>
        <v/>
      </c>
      <c r="E419" s="103" t="str">
        <f t="shared" si="2"/>
        <v/>
      </c>
      <c r="F419" s="103" t="str">
        <f t="shared" si="3"/>
        <v/>
      </c>
      <c r="G419" s="122"/>
      <c r="H419" s="103">
        <f t="shared" si="4"/>
        <v>0</v>
      </c>
      <c r="I419" s="108">
        <f t="shared" si="5"/>
        <v>0</v>
      </c>
      <c r="J419" s="114"/>
      <c r="K419" s="83"/>
      <c r="L419" s="83"/>
      <c r="M419" s="83"/>
      <c r="N419" s="83"/>
      <c r="O419" s="83"/>
      <c r="P419" s="83"/>
      <c r="Q419" s="83"/>
      <c r="R419" s="83"/>
      <c r="S419" s="83"/>
      <c r="T419" s="83"/>
      <c r="U419" s="83"/>
      <c r="V419" s="83"/>
      <c r="W419" s="83"/>
      <c r="X419" s="83"/>
      <c r="Y419" s="83"/>
      <c r="Z419" s="114"/>
      <c r="AA419" s="115" t="str">
        <f t="shared" si="6"/>
        <v/>
      </c>
      <c r="AB419" s="115">
        <f t="shared" si="7"/>
        <v>0</v>
      </c>
      <c r="AC419" s="115">
        <f t="shared" si="8"/>
        <v>0</v>
      </c>
      <c r="AD419" s="115">
        <f t="shared" si="9"/>
        <v>0</v>
      </c>
    </row>
    <row r="420">
      <c r="A420" s="101"/>
      <c r="B420" s="121"/>
      <c r="C420" s="122"/>
      <c r="D420" s="103" t="str">
        <f t="shared" si="1"/>
        <v/>
      </c>
      <c r="E420" s="103" t="str">
        <f t="shared" si="2"/>
        <v/>
      </c>
      <c r="F420" s="103" t="str">
        <f t="shared" si="3"/>
        <v/>
      </c>
      <c r="G420" s="122"/>
      <c r="H420" s="103">
        <f t="shared" si="4"/>
        <v>0</v>
      </c>
      <c r="I420" s="108">
        <f t="shared" si="5"/>
        <v>0</v>
      </c>
      <c r="J420" s="114"/>
      <c r="K420" s="83"/>
      <c r="L420" s="83"/>
      <c r="M420" s="83"/>
      <c r="N420" s="83"/>
      <c r="O420" s="83"/>
      <c r="P420" s="83"/>
      <c r="Q420" s="83"/>
      <c r="R420" s="83"/>
      <c r="S420" s="83"/>
      <c r="T420" s="83"/>
      <c r="U420" s="83"/>
      <c r="V420" s="83"/>
      <c r="W420" s="83"/>
      <c r="X420" s="83"/>
      <c r="Y420" s="83"/>
      <c r="Z420" s="114"/>
      <c r="AA420" s="115" t="str">
        <f t="shared" si="6"/>
        <v/>
      </c>
      <c r="AB420" s="115">
        <f t="shared" si="7"/>
        <v>0</v>
      </c>
      <c r="AC420" s="115">
        <f t="shared" si="8"/>
        <v>0</v>
      </c>
      <c r="AD420" s="115">
        <f t="shared" si="9"/>
        <v>0</v>
      </c>
    </row>
    <row r="421">
      <c r="A421" s="101"/>
      <c r="B421" s="121"/>
      <c r="C421" s="122"/>
      <c r="D421" s="103" t="str">
        <f t="shared" si="1"/>
        <v/>
      </c>
      <c r="E421" s="103" t="str">
        <f t="shared" si="2"/>
        <v/>
      </c>
      <c r="F421" s="103" t="str">
        <f t="shared" si="3"/>
        <v/>
      </c>
      <c r="G421" s="122"/>
      <c r="H421" s="103">
        <f t="shared" si="4"/>
        <v>0</v>
      </c>
      <c r="I421" s="108">
        <f t="shared" si="5"/>
        <v>0</v>
      </c>
      <c r="J421" s="114"/>
      <c r="K421" s="83"/>
      <c r="L421" s="83"/>
      <c r="M421" s="83"/>
      <c r="N421" s="83"/>
      <c r="O421" s="83"/>
      <c r="P421" s="83"/>
      <c r="Q421" s="83"/>
      <c r="R421" s="83"/>
      <c r="S421" s="83"/>
      <c r="T421" s="83"/>
      <c r="U421" s="83"/>
      <c r="V421" s="83"/>
      <c r="W421" s="83"/>
      <c r="X421" s="83"/>
      <c r="Y421" s="83"/>
      <c r="Z421" s="114"/>
      <c r="AA421" s="115" t="str">
        <f t="shared" si="6"/>
        <v/>
      </c>
      <c r="AB421" s="115">
        <f t="shared" si="7"/>
        <v>0</v>
      </c>
      <c r="AC421" s="115">
        <f t="shared" si="8"/>
        <v>0</v>
      </c>
      <c r="AD421" s="115">
        <f t="shared" si="9"/>
        <v>0</v>
      </c>
    </row>
    <row r="422">
      <c r="A422" s="101"/>
      <c r="B422" s="121"/>
      <c r="C422" s="122"/>
      <c r="D422" s="103" t="str">
        <f t="shared" si="1"/>
        <v/>
      </c>
      <c r="E422" s="103" t="str">
        <f t="shared" si="2"/>
        <v/>
      </c>
      <c r="F422" s="103" t="str">
        <f t="shared" si="3"/>
        <v/>
      </c>
      <c r="G422" s="122"/>
      <c r="H422" s="103">
        <f t="shared" si="4"/>
        <v>0</v>
      </c>
      <c r="I422" s="108">
        <f t="shared" si="5"/>
        <v>0</v>
      </c>
      <c r="J422" s="114"/>
      <c r="K422" s="83"/>
      <c r="L422" s="83"/>
      <c r="M422" s="83"/>
      <c r="N422" s="83"/>
      <c r="O422" s="83"/>
      <c r="P422" s="83"/>
      <c r="Q422" s="83"/>
      <c r="R422" s="83"/>
      <c r="S422" s="83"/>
      <c r="T422" s="83"/>
      <c r="U422" s="83"/>
      <c r="V422" s="83"/>
      <c r="W422" s="83"/>
      <c r="X422" s="83"/>
      <c r="Y422" s="83"/>
      <c r="Z422" s="114"/>
      <c r="AA422" s="115" t="str">
        <f t="shared" si="6"/>
        <v/>
      </c>
      <c r="AB422" s="115">
        <f t="shared" si="7"/>
        <v>0</v>
      </c>
      <c r="AC422" s="115">
        <f t="shared" si="8"/>
        <v>0</v>
      </c>
      <c r="AD422" s="115">
        <f t="shared" si="9"/>
        <v>0</v>
      </c>
    </row>
    <row r="423">
      <c r="A423" s="101"/>
      <c r="B423" s="121"/>
      <c r="C423" s="122"/>
      <c r="D423" s="103" t="str">
        <f t="shared" si="1"/>
        <v/>
      </c>
      <c r="E423" s="103" t="str">
        <f t="shared" si="2"/>
        <v/>
      </c>
      <c r="F423" s="103" t="str">
        <f t="shared" si="3"/>
        <v/>
      </c>
      <c r="G423" s="122"/>
      <c r="H423" s="103">
        <f t="shared" si="4"/>
        <v>0</v>
      </c>
      <c r="I423" s="108">
        <f t="shared" si="5"/>
        <v>0</v>
      </c>
      <c r="J423" s="114"/>
      <c r="K423" s="83"/>
      <c r="L423" s="83"/>
      <c r="M423" s="83"/>
      <c r="N423" s="83"/>
      <c r="O423" s="83"/>
      <c r="P423" s="83"/>
      <c r="Q423" s="83"/>
      <c r="R423" s="83"/>
      <c r="S423" s="83"/>
      <c r="T423" s="83"/>
      <c r="U423" s="83"/>
      <c r="V423" s="83"/>
      <c r="W423" s="83"/>
      <c r="X423" s="83"/>
      <c r="Y423" s="83"/>
      <c r="Z423" s="114"/>
      <c r="AA423" s="115" t="str">
        <f t="shared" si="6"/>
        <v/>
      </c>
      <c r="AB423" s="115">
        <f t="shared" si="7"/>
        <v>0</v>
      </c>
      <c r="AC423" s="115">
        <f t="shared" si="8"/>
        <v>0</v>
      </c>
      <c r="AD423" s="115">
        <f t="shared" si="9"/>
        <v>0</v>
      </c>
    </row>
    <row r="424">
      <c r="A424" s="101"/>
      <c r="B424" s="121"/>
      <c r="C424" s="122"/>
      <c r="D424" s="103" t="str">
        <f t="shared" si="1"/>
        <v/>
      </c>
      <c r="E424" s="103" t="str">
        <f t="shared" si="2"/>
        <v/>
      </c>
      <c r="F424" s="103" t="str">
        <f t="shared" si="3"/>
        <v/>
      </c>
      <c r="G424" s="122"/>
      <c r="H424" s="103">
        <f t="shared" si="4"/>
        <v>0</v>
      </c>
      <c r="I424" s="108">
        <f t="shared" si="5"/>
        <v>0</v>
      </c>
      <c r="J424" s="114"/>
      <c r="K424" s="83"/>
      <c r="L424" s="83"/>
      <c r="M424" s="83"/>
      <c r="N424" s="83"/>
      <c r="O424" s="83"/>
      <c r="P424" s="83"/>
      <c r="Q424" s="83"/>
      <c r="R424" s="83"/>
      <c r="S424" s="83"/>
      <c r="T424" s="83"/>
      <c r="U424" s="83"/>
      <c r="V424" s="83"/>
      <c r="W424" s="83"/>
      <c r="X424" s="83"/>
      <c r="Y424" s="83"/>
      <c r="Z424" s="114"/>
      <c r="AA424" s="115" t="str">
        <f t="shared" si="6"/>
        <v/>
      </c>
      <c r="AB424" s="115">
        <f t="shared" si="7"/>
        <v>0</v>
      </c>
      <c r="AC424" s="115">
        <f t="shared" si="8"/>
        <v>0</v>
      </c>
      <c r="AD424" s="115">
        <f t="shared" si="9"/>
        <v>0</v>
      </c>
    </row>
    <row r="425">
      <c r="A425" s="101"/>
      <c r="B425" s="121"/>
      <c r="C425" s="122"/>
      <c r="D425" s="103" t="str">
        <f t="shared" si="1"/>
        <v/>
      </c>
      <c r="E425" s="103" t="str">
        <f t="shared" si="2"/>
        <v/>
      </c>
      <c r="F425" s="103" t="str">
        <f t="shared" si="3"/>
        <v/>
      </c>
      <c r="G425" s="122"/>
      <c r="H425" s="103">
        <f t="shared" si="4"/>
        <v>0</v>
      </c>
      <c r="I425" s="108">
        <f t="shared" si="5"/>
        <v>0</v>
      </c>
      <c r="J425" s="114"/>
      <c r="K425" s="83"/>
      <c r="L425" s="83"/>
      <c r="M425" s="83"/>
      <c r="N425" s="83"/>
      <c r="O425" s="83"/>
      <c r="P425" s="83"/>
      <c r="Q425" s="83"/>
      <c r="R425" s="83"/>
      <c r="S425" s="83"/>
      <c r="T425" s="83"/>
      <c r="U425" s="83"/>
      <c r="V425" s="83"/>
      <c r="W425" s="83"/>
      <c r="X425" s="83"/>
      <c r="Y425" s="83"/>
      <c r="Z425" s="114"/>
      <c r="AA425" s="115" t="str">
        <f t="shared" si="6"/>
        <v/>
      </c>
      <c r="AB425" s="115">
        <f t="shared" si="7"/>
        <v>0</v>
      </c>
      <c r="AC425" s="115">
        <f t="shared" si="8"/>
        <v>0</v>
      </c>
      <c r="AD425" s="115">
        <f t="shared" si="9"/>
        <v>0</v>
      </c>
    </row>
    <row r="426">
      <c r="A426" s="101"/>
      <c r="B426" s="121"/>
      <c r="C426" s="122"/>
      <c r="D426" s="103" t="str">
        <f t="shared" si="1"/>
        <v/>
      </c>
      <c r="E426" s="103" t="str">
        <f t="shared" si="2"/>
        <v/>
      </c>
      <c r="F426" s="103" t="str">
        <f t="shared" si="3"/>
        <v/>
      </c>
      <c r="G426" s="122"/>
      <c r="H426" s="103">
        <f t="shared" si="4"/>
        <v>0</v>
      </c>
      <c r="I426" s="108">
        <f t="shared" si="5"/>
        <v>0</v>
      </c>
      <c r="J426" s="114"/>
      <c r="K426" s="83"/>
      <c r="L426" s="83"/>
      <c r="M426" s="83"/>
      <c r="N426" s="83"/>
      <c r="O426" s="83"/>
      <c r="P426" s="83"/>
      <c r="Q426" s="83"/>
      <c r="R426" s="83"/>
      <c r="S426" s="83"/>
      <c r="T426" s="83"/>
      <c r="U426" s="83"/>
      <c r="V426" s="83"/>
      <c r="W426" s="83"/>
      <c r="X426" s="83"/>
      <c r="Y426" s="83"/>
      <c r="Z426" s="114"/>
      <c r="AA426" s="115" t="str">
        <f t="shared" si="6"/>
        <v/>
      </c>
      <c r="AB426" s="115">
        <f t="shared" si="7"/>
        <v>0</v>
      </c>
      <c r="AC426" s="115">
        <f t="shared" si="8"/>
        <v>0</v>
      </c>
      <c r="AD426" s="115">
        <f t="shared" si="9"/>
        <v>0</v>
      </c>
    </row>
    <row r="427">
      <c r="A427" s="101"/>
      <c r="B427" s="121"/>
      <c r="C427" s="122"/>
      <c r="D427" s="103" t="str">
        <f t="shared" si="1"/>
        <v/>
      </c>
      <c r="E427" s="103" t="str">
        <f t="shared" si="2"/>
        <v/>
      </c>
      <c r="F427" s="103" t="str">
        <f t="shared" si="3"/>
        <v/>
      </c>
      <c r="G427" s="122"/>
      <c r="H427" s="103">
        <f t="shared" si="4"/>
        <v>0</v>
      </c>
      <c r="I427" s="108">
        <f t="shared" si="5"/>
        <v>0</v>
      </c>
      <c r="J427" s="114"/>
      <c r="K427" s="83"/>
      <c r="L427" s="83"/>
      <c r="M427" s="83"/>
      <c r="N427" s="83"/>
      <c r="O427" s="83"/>
      <c r="P427" s="83"/>
      <c r="Q427" s="83"/>
      <c r="R427" s="83"/>
      <c r="S427" s="83"/>
      <c r="T427" s="83"/>
      <c r="U427" s="83"/>
      <c r="V427" s="83"/>
      <c r="W427" s="83"/>
      <c r="X427" s="83"/>
      <c r="Y427" s="83"/>
      <c r="Z427" s="114"/>
      <c r="AA427" s="115" t="str">
        <f t="shared" si="6"/>
        <v/>
      </c>
      <c r="AB427" s="115">
        <f t="shared" si="7"/>
        <v>0</v>
      </c>
      <c r="AC427" s="115">
        <f t="shared" si="8"/>
        <v>0</v>
      </c>
      <c r="AD427" s="115">
        <f t="shared" si="9"/>
        <v>0</v>
      </c>
    </row>
    <row r="428">
      <c r="A428" s="101"/>
      <c r="B428" s="121"/>
      <c r="C428" s="122"/>
      <c r="D428" s="103" t="str">
        <f t="shared" si="1"/>
        <v/>
      </c>
      <c r="E428" s="103" t="str">
        <f t="shared" si="2"/>
        <v/>
      </c>
      <c r="F428" s="103" t="str">
        <f t="shared" si="3"/>
        <v/>
      </c>
      <c r="G428" s="122"/>
      <c r="H428" s="103">
        <f t="shared" si="4"/>
        <v>0</v>
      </c>
      <c r="I428" s="108">
        <f t="shared" si="5"/>
        <v>0</v>
      </c>
      <c r="J428" s="114"/>
      <c r="K428" s="83"/>
      <c r="L428" s="83"/>
      <c r="M428" s="83"/>
      <c r="N428" s="83"/>
      <c r="O428" s="83"/>
      <c r="P428" s="83"/>
      <c r="Q428" s="83"/>
      <c r="R428" s="83"/>
      <c r="S428" s="83"/>
      <c r="T428" s="83"/>
      <c r="U428" s="83"/>
      <c r="V428" s="83"/>
      <c r="W428" s="83"/>
      <c r="X428" s="83"/>
      <c r="Y428" s="83"/>
      <c r="Z428" s="114"/>
      <c r="AA428" s="115" t="str">
        <f t="shared" si="6"/>
        <v/>
      </c>
      <c r="AB428" s="115">
        <f t="shared" si="7"/>
        <v>0</v>
      </c>
      <c r="AC428" s="115">
        <f t="shared" si="8"/>
        <v>0</v>
      </c>
      <c r="AD428" s="115">
        <f t="shared" si="9"/>
        <v>0</v>
      </c>
    </row>
    <row r="429">
      <c r="A429" s="101"/>
      <c r="B429" s="121"/>
      <c r="C429" s="122"/>
      <c r="D429" s="103" t="str">
        <f t="shared" si="1"/>
        <v/>
      </c>
      <c r="E429" s="103" t="str">
        <f t="shared" si="2"/>
        <v/>
      </c>
      <c r="F429" s="103" t="str">
        <f t="shared" si="3"/>
        <v/>
      </c>
      <c r="G429" s="122"/>
      <c r="H429" s="103">
        <f t="shared" si="4"/>
        <v>0</v>
      </c>
      <c r="I429" s="108">
        <f t="shared" si="5"/>
        <v>0</v>
      </c>
      <c r="J429" s="114"/>
      <c r="K429" s="83"/>
      <c r="L429" s="83"/>
      <c r="M429" s="83"/>
      <c r="N429" s="83"/>
      <c r="O429" s="83"/>
      <c r="P429" s="83"/>
      <c r="Q429" s="83"/>
      <c r="R429" s="83"/>
      <c r="S429" s="83"/>
      <c r="T429" s="83"/>
      <c r="U429" s="83"/>
      <c r="V429" s="83"/>
      <c r="W429" s="83"/>
      <c r="X429" s="83"/>
      <c r="Y429" s="83"/>
      <c r="Z429" s="114"/>
      <c r="AA429" s="115" t="str">
        <f t="shared" si="6"/>
        <v/>
      </c>
      <c r="AB429" s="115">
        <f t="shared" si="7"/>
        <v>0</v>
      </c>
      <c r="AC429" s="115">
        <f t="shared" si="8"/>
        <v>0</v>
      </c>
      <c r="AD429" s="115">
        <f t="shared" si="9"/>
        <v>0</v>
      </c>
    </row>
    <row r="430">
      <c r="A430" s="101"/>
      <c r="B430" s="121"/>
      <c r="C430" s="122"/>
      <c r="D430" s="103" t="str">
        <f t="shared" si="1"/>
        <v/>
      </c>
      <c r="E430" s="103" t="str">
        <f t="shared" si="2"/>
        <v/>
      </c>
      <c r="F430" s="103" t="str">
        <f t="shared" si="3"/>
        <v/>
      </c>
      <c r="G430" s="122"/>
      <c r="H430" s="103">
        <f t="shared" si="4"/>
        <v>0</v>
      </c>
      <c r="I430" s="108">
        <f t="shared" si="5"/>
        <v>0</v>
      </c>
      <c r="J430" s="114"/>
      <c r="K430" s="83"/>
      <c r="L430" s="83"/>
      <c r="M430" s="83"/>
      <c r="N430" s="83"/>
      <c r="O430" s="83"/>
      <c r="P430" s="83"/>
      <c r="Q430" s="83"/>
      <c r="R430" s="83"/>
      <c r="S430" s="83"/>
      <c r="T430" s="83"/>
      <c r="U430" s="83"/>
      <c r="V430" s="83"/>
      <c r="W430" s="83"/>
      <c r="X430" s="83"/>
      <c r="Y430" s="83"/>
      <c r="Z430" s="114"/>
      <c r="AA430" s="115" t="str">
        <f t="shared" si="6"/>
        <v/>
      </c>
      <c r="AB430" s="115">
        <f t="shared" si="7"/>
        <v>0</v>
      </c>
      <c r="AC430" s="115">
        <f t="shared" si="8"/>
        <v>0</v>
      </c>
      <c r="AD430" s="115">
        <f t="shared" si="9"/>
        <v>0</v>
      </c>
    </row>
    <row r="431">
      <c r="A431" s="101"/>
      <c r="B431" s="121"/>
      <c r="C431" s="122"/>
      <c r="D431" s="103" t="str">
        <f t="shared" si="1"/>
        <v/>
      </c>
      <c r="E431" s="103" t="str">
        <f t="shared" si="2"/>
        <v/>
      </c>
      <c r="F431" s="103" t="str">
        <f t="shared" si="3"/>
        <v/>
      </c>
      <c r="G431" s="122"/>
      <c r="H431" s="103">
        <f t="shared" si="4"/>
        <v>0</v>
      </c>
      <c r="I431" s="108">
        <f t="shared" si="5"/>
        <v>0</v>
      </c>
      <c r="J431" s="114"/>
      <c r="K431" s="83"/>
      <c r="L431" s="83"/>
      <c r="M431" s="83"/>
      <c r="N431" s="83"/>
      <c r="O431" s="83"/>
      <c r="P431" s="83"/>
      <c r="Q431" s="83"/>
      <c r="R431" s="83"/>
      <c r="S431" s="83"/>
      <c r="T431" s="83"/>
      <c r="U431" s="83"/>
      <c r="V431" s="83"/>
      <c r="W431" s="83"/>
      <c r="X431" s="83"/>
      <c r="Y431" s="83"/>
      <c r="Z431" s="114"/>
      <c r="AA431" s="115" t="str">
        <f t="shared" si="6"/>
        <v/>
      </c>
      <c r="AB431" s="115">
        <f t="shared" si="7"/>
        <v>0</v>
      </c>
      <c r="AC431" s="115">
        <f t="shared" si="8"/>
        <v>0</v>
      </c>
      <c r="AD431" s="115">
        <f t="shared" si="9"/>
        <v>0</v>
      </c>
    </row>
    <row r="432">
      <c r="A432" s="101"/>
      <c r="B432" s="121"/>
      <c r="C432" s="122"/>
      <c r="D432" s="103" t="str">
        <f t="shared" si="1"/>
        <v/>
      </c>
      <c r="E432" s="103" t="str">
        <f t="shared" si="2"/>
        <v/>
      </c>
      <c r="F432" s="103" t="str">
        <f t="shared" si="3"/>
        <v/>
      </c>
      <c r="G432" s="122"/>
      <c r="H432" s="103">
        <f t="shared" si="4"/>
        <v>0</v>
      </c>
      <c r="I432" s="108">
        <f t="shared" si="5"/>
        <v>0</v>
      </c>
      <c r="J432" s="114"/>
      <c r="K432" s="83"/>
      <c r="L432" s="83"/>
      <c r="M432" s="83"/>
      <c r="N432" s="83"/>
      <c r="O432" s="83"/>
      <c r="P432" s="83"/>
      <c r="Q432" s="83"/>
      <c r="R432" s="83"/>
      <c r="S432" s="83"/>
      <c r="T432" s="83"/>
      <c r="U432" s="83"/>
      <c r="V432" s="83"/>
      <c r="W432" s="83"/>
      <c r="X432" s="83"/>
      <c r="Y432" s="83"/>
      <c r="Z432" s="114"/>
      <c r="AA432" s="115" t="str">
        <f t="shared" si="6"/>
        <v/>
      </c>
      <c r="AB432" s="115">
        <f t="shared" si="7"/>
        <v>0</v>
      </c>
      <c r="AC432" s="115">
        <f t="shared" si="8"/>
        <v>0</v>
      </c>
      <c r="AD432" s="115">
        <f t="shared" si="9"/>
        <v>0</v>
      </c>
    </row>
    <row r="433">
      <c r="A433" s="101"/>
      <c r="B433" s="121"/>
      <c r="C433" s="122"/>
      <c r="D433" s="103" t="str">
        <f t="shared" si="1"/>
        <v/>
      </c>
      <c r="E433" s="103" t="str">
        <f t="shared" si="2"/>
        <v/>
      </c>
      <c r="F433" s="103" t="str">
        <f t="shared" si="3"/>
        <v/>
      </c>
      <c r="G433" s="122"/>
      <c r="H433" s="103">
        <f t="shared" si="4"/>
        <v>0</v>
      </c>
      <c r="I433" s="108">
        <f t="shared" si="5"/>
        <v>0</v>
      </c>
      <c r="J433" s="114"/>
      <c r="K433" s="83"/>
      <c r="L433" s="83"/>
      <c r="M433" s="83"/>
      <c r="N433" s="83"/>
      <c r="O433" s="83"/>
      <c r="P433" s="83"/>
      <c r="Q433" s="83"/>
      <c r="R433" s="83"/>
      <c r="S433" s="83"/>
      <c r="T433" s="83"/>
      <c r="U433" s="83"/>
      <c r="V433" s="83"/>
      <c r="W433" s="83"/>
      <c r="X433" s="83"/>
      <c r="Y433" s="83"/>
      <c r="Z433" s="114"/>
      <c r="AA433" s="115" t="str">
        <f t="shared" si="6"/>
        <v/>
      </c>
      <c r="AB433" s="115">
        <f t="shared" si="7"/>
        <v>0</v>
      </c>
      <c r="AC433" s="115">
        <f t="shared" si="8"/>
        <v>0</v>
      </c>
      <c r="AD433" s="115">
        <f t="shared" si="9"/>
        <v>0</v>
      </c>
    </row>
    <row r="434">
      <c r="A434" s="101"/>
      <c r="B434" s="121"/>
      <c r="C434" s="122"/>
      <c r="D434" s="103" t="str">
        <f t="shared" si="1"/>
        <v/>
      </c>
      <c r="E434" s="103" t="str">
        <f t="shared" si="2"/>
        <v/>
      </c>
      <c r="F434" s="103" t="str">
        <f t="shared" si="3"/>
        <v/>
      </c>
      <c r="G434" s="122"/>
      <c r="H434" s="103">
        <f t="shared" si="4"/>
        <v>0</v>
      </c>
      <c r="I434" s="108">
        <f t="shared" si="5"/>
        <v>0</v>
      </c>
      <c r="J434" s="114"/>
      <c r="K434" s="83"/>
      <c r="L434" s="83"/>
      <c r="M434" s="83"/>
      <c r="N434" s="83"/>
      <c r="O434" s="83"/>
      <c r="P434" s="83"/>
      <c r="Q434" s="83"/>
      <c r="R434" s="83"/>
      <c r="S434" s="83"/>
      <c r="T434" s="83"/>
      <c r="U434" s="83"/>
      <c r="V434" s="83"/>
      <c r="W434" s="83"/>
      <c r="X434" s="83"/>
      <c r="Y434" s="83"/>
      <c r="Z434" s="114"/>
      <c r="AA434" s="115" t="str">
        <f t="shared" si="6"/>
        <v/>
      </c>
      <c r="AB434" s="115">
        <f t="shared" si="7"/>
        <v>0</v>
      </c>
      <c r="AC434" s="115">
        <f t="shared" si="8"/>
        <v>0</v>
      </c>
      <c r="AD434" s="115">
        <f t="shared" si="9"/>
        <v>0</v>
      </c>
    </row>
    <row r="435">
      <c r="A435" s="101"/>
      <c r="B435" s="121"/>
      <c r="C435" s="122"/>
      <c r="D435" s="103" t="str">
        <f t="shared" si="1"/>
        <v/>
      </c>
      <c r="E435" s="103" t="str">
        <f t="shared" si="2"/>
        <v/>
      </c>
      <c r="F435" s="103" t="str">
        <f t="shared" si="3"/>
        <v/>
      </c>
      <c r="G435" s="122"/>
      <c r="H435" s="103">
        <f t="shared" si="4"/>
        <v>0</v>
      </c>
      <c r="I435" s="108">
        <f t="shared" si="5"/>
        <v>0</v>
      </c>
      <c r="J435" s="114"/>
      <c r="K435" s="83"/>
      <c r="L435" s="83"/>
      <c r="M435" s="83"/>
      <c r="N435" s="83"/>
      <c r="O435" s="83"/>
      <c r="P435" s="83"/>
      <c r="Q435" s="83"/>
      <c r="R435" s="83"/>
      <c r="S435" s="83"/>
      <c r="T435" s="83"/>
      <c r="U435" s="83"/>
      <c r="V435" s="83"/>
      <c r="W435" s="83"/>
      <c r="X435" s="83"/>
      <c r="Y435" s="83"/>
      <c r="Z435" s="114"/>
      <c r="AA435" s="115" t="str">
        <f t="shared" si="6"/>
        <v/>
      </c>
      <c r="AB435" s="115">
        <f t="shared" si="7"/>
        <v>0</v>
      </c>
      <c r="AC435" s="115">
        <f t="shared" si="8"/>
        <v>0</v>
      </c>
      <c r="AD435" s="115">
        <f t="shared" si="9"/>
        <v>0</v>
      </c>
    </row>
    <row r="436">
      <c r="A436" s="101"/>
      <c r="B436" s="121"/>
      <c r="C436" s="122"/>
      <c r="D436" s="103" t="str">
        <f t="shared" si="1"/>
        <v/>
      </c>
      <c r="E436" s="103" t="str">
        <f t="shared" si="2"/>
        <v/>
      </c>
      <c r="F436" s="103" t="str">
        <f t="shared" si="3"/>
        <v/>
      </c>
      <c r="G436" s="122"/>
      <c r="H436" s="103">
        <f t="shared" si="4"/>
        <v>0</v>
      </c>
      <c r="I436" s="108">
        <f t="shared" si="5"/>
        <v>0</v>
      </c>
      <c r="J436" s="114"/>
      <c r="K436" s="83"/>
      <c r="L436" s="83"/>
      <c r="M436" s="83"/>
      <c r="N436" s="83"/>
      <c r="O436" s="83"/>
      <c r="P436" s="83"/>
      <c r="Q436" s="83"/>
      <c r="R436" s="83"/>
      <c r="S436" s="83"/>
      <c r="T436" s="83"/>
      <c r="U436" s="83"/>
      <c r="V436" s="83"/>
      <c r="W436" s="83"/>
      <c r="X436" s="83"/>
      <c r="Y436" s="83"/>
      <c r="Z436" s="114"/>
      <c r="AA436" s="115" t="str">
        <f t="shared" si="6"/>
        <v/>
      </c>
      <c r="AB436" s="115">
        <f t="shared" si="7"/>
        <v>0</v>
      </c>
      <c r="AC436" s="115">
        <f t="shared" si="8"/>
        <v>0</v>
      </c>
      <c r="AD436" s="115">
        <f t="shared" si="9"/>
        <v>0</v>
      </c>
    </row>
    <row r="437">
      <c r="A437" s="101"/>
      <c r="B437" s="121"/>
      <c r="C437" s="122"/>
      <c r="D437" s="103" t="str">
        <f t="shared" si="1"/>
        <v/>
      </c>
      <c r="E437" s="103" t="str">
        <f t="shared" si="2"/>
        <v/>
      </c>
      <c r="F437" s="103" t="str">
        <f t="shared" si="3"/>
        <v/>
      </c>
      <c r="G437" s="122"/>
      <c r="H437" s="103">
        <f t="shared" si="4"/>
        <v>0</v>
      </c>
      <c r="I437" s="108">
        <f t="shared" si="5"/>
        <v>0</v>
      </c>
      <c r="J437" s="114"/>
      <c r="K437" s="83"/>
      <c r="L437" s="83"/>
      <c r="M437" s="83"/>
      <c r="N437" s="83"/>
      <c r="O437" s="83"/>
      <c r="P437" s="83"/>
      <c r="Q437" s="83"/>
      <c r="R437" s="83"/>
      <c r="S437" s="83"/>
      <c r="T437" s="83"/>
      <c r="U437" s="83"/>
      <c r="V437" s="83"/>
      <c r="W437" s="83"/>
      <c r="X437" s="83"/>
      <c r="Y437" s="83"/>
      <c r="Z437" s="114"/>
      <c r="AA437" s="115" t="str">
        <f t="shared" si="6"/>
        <v/>
      </c>
      <c r="AB437" s="115">
        <f t="shared" si="7"/>
        <v>0</v>
      </c>
      <c r="AC437" s="115">
        <f t="shared" si="8"/>
        <v>0</v>
      </c>
      <c r="AD437" s="115">
        <f t="shared" si="9"/>
        <v>0</v>
      </c>
    </row>
    <row r="438">
      <c r="A438" s="101"/>
      <c r="B438" s="121"/>
      <c r="C438" s="122"/>
      <c r="D438" s="103" t="str">
        <f t="shared" si="1"/>
        <v/>
      </c>
      <c r="E438" s="103" t="str">
        <f t="shared" si="2"/>
        <v/>
      </c>
      <c r="F438" s="103" t="str">
        <f t="shared" si="3"/>
        <v/>
      </c>
      <c r="G438" s="122"/>
      <c r="H438" s="103">
        <f t="shared" si="4"/>
        <v>0</v>
      </c>
      <c r="I438" s="108">
        <f t="shared" si="5"/>
        <v>0</v>
      </c>
      <c r="J438" s="114"/>
      <c r="K438" s="83"/>
      <c r="L438" s="83"/>
      <c r="M438" s="83"/>
      <c r="N438" s="83"/>
      <c r="O438" s="83"/>
      <c r="P438" s="83"/>
      <c r="Q438" s="83"/>
      <c r="R438" s="83"/>
      <c r="S438" s="83"/>
      <c r="T438" s="83"/>
      <c r="U438" s="83"/>
      <c r="V438" s="83"/>
      <c r="W438" s="83"/>
      <c r="X438" s="83"/>
      <c r="Y438" s="83"/>
      <c r="Z438" s="114"/>
      <c r="AA438" s="115" t="str">
        <f t="shared" si="6"/>
        <v/>
      </c>
      <c r="AB438" s="115">
        <f t="shared" si="7"/>
        <v>0</v>
      </c>
      <c r="AC438" s="115">
        <f t="shared" si="8"/>
        <v>0</v>
      </c>
      <c r="AD438" s="115">
        <f t="shared" si="9"/>
        <v>0</v>
      </c>
    </row>
    <row r="439">
      <c r="A439" s="101"/>
      <c r="B439" s="121"/>
      <c r="C439" s="122"/>
      <c r="D439" s="103" t="str">
        <f t="shared" si="1"/>
        <v/>
      </c>
      <c r="E439" s="103" t="str">
        <f t="shared" si="2"/>
        <v/>
      </c>
      <c r="F439" s="103" t="str">
        <f t="shared" si="3"/>
        <v/>
      </c>
      <c r="G439" s="122"/>
      <c r="H439" s="103">
        <f t="shared" si="4"/>
        <v>0</v>
      </c>
      <c r="I439" s="108">
        <f t="shared" si="5"/>
        <v>0</v>
      </c>
      <c r="J439" s="114"/>
      <c r="K439" s="83"/>
      <c r="L439" s="83"/>
      <c r="M439" s="83"/>
      <c r="N439" s="83"/>
      <c r="O439" s="83"/>
      <c r="P439" s="83"/>
      <c r="Q439" s="83"/>
      <c r="R439" s="83"/>
      <c r="S439" s="83"/>
      <c r="T439" s="83"/>
      <c r="U439" s="83"/>
      <c r="V439" s="83"/>
      <c r="W439" s="83"/>
      <c r="X439" s="83"/>
      <c r="Y439" s="83"/>
      <c r="Z439" s="114"/>
      <c r="AA439" s="115" t="str">
        <f t="shared" si="6"/>
        <v/>
      </c>
      <c r="AB439" s="115">
        <f t="shared" si="7"/>
        <v>0</v>
      </c>
      <c r="AC439" s="115">
        <f t="shared" si="8"/>
        <v>0</v>
      </c>
      <c r="AD439" s="115">
        <f t="shared" si="9"/>
        <v>0</v>
      </c>
    </row>
    <row r="440">
      <c r="A440" s="101"/>
      <c r="B440" s="121"/>
      <c r="C440" s="122"/>
      <c r="D440" s="103" t="str">
        <f t="shared" si="1"/>
        <v/>
      </c>
      <c r="E440" s="103" t="str">
        <f t="shared" si="2"/>
        <v/>
      </c>
      <c r="F440" s="103" t="str">
        <f t="shared" si="3"/>
        <v/>
      </c>
      <c r="G440" s="122"/>
      <c r="H440" s="103">
        <f t="shared" si="4"/>
        <v>0</v>
      </c>
      <c r="I440" s="108">
        <f t="shared" si="5"/>
        <v>0</v>
      </c>
      <c r="J440" s="114"/>
      <c r="K440" s="83"/>
      <c r="L440" s="83"/>
      <c r="M440" s="83"/>
      <c r="N440" s="83"/>
      <c r="O440" s="83"/>
      <c r="P440" s="83"/>
      <c r="Q440" s="83"/>
      <c r="R440" s="83"/>
      <c r="S440" s="83"/>
      <c r="T440" s="83"/>
      <c r="U440" s="83"/>
      <c r="V440" s="83"/>
      <c r="W440" s="83"/>
      <c r="X440" s="83"/>
      <c r="Y440" s="83"/>
      <c r="Z440" s="114"/>
      <c r="AA440" s="115" t="str">
        <f t="shared" si="6"/>
        <v/>
      </c>
      <c r="AB440" s="115">
        <f t="shared" si="7"/>
        <v>0</v>
      </c>
      <c r="AC440" s="115">
        <f t="shared" si="8"/>
        <v>0</v>
      </c>
      <c r="AD440" s="115">
        <f t="shared" si="9"/>
        <v>0</v>
      </c>
    </row>
    <row r="441">
      <c r="A441" s="101"/>
      <c r="B441" s="121"/>
      <c r="C441" s="122"/>
      <c r="D441" s="103" t="str">
        <f t="shared" si="1"/>
        <v/>
      </c>
      <c r="E441" s="103" t="str">
        <f t="shared" si="2"/>
        <v/>
      </c>
      <c r="F441" s="103" t="str">
        <f t="shared" si="3"/>
        <v/>
      </c>
      <c r="G441" s="122"/>
      <c r="H441" s="103">
        <f t="shared" si="4"/>
        <v>0</v>
      </c>
      <c r="I441" s="108">
        <f t="shared" si="5"/>
        <v>0</v>
      </c>
      <c r="J441" s="114"/>
      <c r="K441" s="83"/>
      <c r="L441" s="83"/>
      <c r="M441" s="83"/>
      <c r="N441" s="83"/>
      <c r="O441" s="83"/>
      <c r="P441" s="83"/>
      <c r="Q441" s="83"/>
      <c r="R441" s="83"/>
      <c r="S441" s="83"/>
      <c r="T441" s="83"/>
      <c r="U441" s="83"/>
      <c r="V441" s="83"/>
      <c r="W441" s="83"/>
      <c r="X441" s="83"/>
      <c r="Y441" s="83"/>
      <c r="Z441" s="114"/>
      <c r="AA441" s="115" t="str">
        <f t="shared" si="6"/>
        <v/>
      </c>
      <c r="AB441" s="115">
        <f t="shared" si="7"/>
        <v>0</v>
      </c>
      <c r="AC441" s="115">
        <f t="shared" si="8"/>
        <v>0</v>
      </c>
      <c r="AD441" s="115">
        <f t="shared" si="9"/>
        <v>0</v>
      </c>
    </row>
    <row r="442">
      <c r="A442" s="101"/>
      <c r="B442" s="121"/>
      <c r="C442" s="122"/>
      <c r="D442" s="103" t="str">
        <f t="shared" si="1"/>
        <v/>
      </c>
      <c r="E442" s="103" t="str">
        <f t="shared" si="2"/>
        <v/>
      </c>
      <c r="F442" s="103" t="str">
        <f t="shared" si="3"/>
        <v/>
      </c>
      <c r="G442" s="122"/>
      <c r="H442" s="103">
        <f t="shared" si="4"/>
        <v>0</v>
      </c>
      <c r="I442" s="108">
        <f t="shared" si="5"/>
        <v>0</v>
      </c>
      <c r="J442" s="114"/>
      <c r="K442" s="83"/>
      <c r="L442" s="83"/>
      <c r="M442" s="83"/>
      <c r="N442" s="83"/>
      <c r="O442" s="83"/>
      <c r="P442" s="83"/>
      <c r="Q442" s="83"/>
      <c r="R442" s="83"/>
      <c r="S442" s="83"/>
      <c r="T442" s="83"/>
      <c r="U442" s="83"/>
      <c r="V442" s="83"/>
      <c r="W442" s="83"/>
      <c r="X442" s="83"/>
      <c r="Y442" s="83"/>
      <c r="Z442" s="114"/>
      <c r="AA442" s="115" t="str">
        <f t="shared" si="6"/>
        <v/>
      </c>
      <c r="AB442" s="115">
        <f t="shared" si="7"/>
        <v>0</v>
      </c>
      <c r="AC442" s="115">
        <f t="shared" si="8"/>
        <v>0</v>
      </c>
      <c r="AD442" s="115">
        <f t="shared" si="9"/>
        <v>0</v>
      </c>
    </row>
    <row r="443">
      <c r="A443" s="101"/>
      <c r="B443" s="121"/>
      <c r="C443" s="122"/>
      <c r="D443" s="103" t="str">
        <f t="shared" si="1"/>
        <v/>
      </c>
      <c r="E443" s="103" t="str">
        <f t="shared" si="2"/>
        <v/>
      </c>
      <c r="F443" s="103" t="str">
        <f t="shared" si="3"/>
        <v/>
      </c>
      <c r="G443" s="122"/>
      <c r="H443" s="103">
        <f t="shared" si="4"/>
        <v>0</v>
      </c>
      <c r="I443" s="108">
        <f t="shared" si="5"/>
        <v>0</v>
      </c>
      <c r="J443" s="114"/>
      <c r="K443" s="83"/>
      <c r="L443" s="83"/>
      <c r="M443" s="83"/>
      <c r="N443" s="83"/>
      <c r="O443" s="83"/>
      <c r="P443" s="83"/>
      <c r="Q443" s="83"/>
      <c r="R443" s="83"/>
      <c r="S443" s="83"/>
      <c r="T443" s="83"/>
      <c r="U443" s="83"/>
      <c r="V443" s="83"/>
      <c r="W443" s="83"/>
      <c r="X443" s="83"/>
      <c r="Y443" s="83"/>
      <c r="Z443" s="114"/>
      <c r="AA443" s="115" t="str">
        <f t="shared" si="6"/>
        <v/>
      </c>
      <c r="AB443" s="115">
        <f t="shared" si="7"/>
        <v>0</v>
      </c>
      <c r="AC443" s="115">
        <f t="shared" si="8"/>
        <v>0</v>
      </c>
      <c r="AD443" s="115">
        <f t="shared" si="9"/>
        <v>0</v>
      </c>
    </row>
    <row r="444">
      <c r="A444" s="101"/>
      <c r="B444" s="121"/>
      <c r="C444" s="122"/>
      <c r="D444" s="103" t="str">
        <f t="shared" si="1"/>
        <v/>
      </c>
      <c r="E444" s="103" t="str">
        <f t="shared" si="2"/>
        <v/>
      </c>
      <c r="F444" s="103" t="str">
        <f t="shared" si="3"/>
        <v/>
      </c>
      <c r="G444" s="122"/>
      <c r="H444" s="103">
        <f t="shared" si="4"/>
        <v>0</v>
      </c>
      <c r="I444" s="108">
        <f t="shared" si="5"/>
        <v>0</v>
      </c>
      <c r="J444" s="114"/>
      <c r="K444" s="83"/>
      <c r="L444" s="83"/>
      <c r="M444" s="83"/>
      <c r="N444" s="83"/>
      <c r="O444" s="83"/>
      <c r="P444" s="83"/>
      <c r="Q444" s="83"/>
      <c r="R444" s="83"/>
      <c r="S444" s="83"/>
      <c r="T444" s="83"/>
      <c r="U444" s="83"/>
      <c r="V444" s="83"/>
      <c r="W444" s="83"/>
      <c r="X444" s="83"/>
      <c r="Y444" s="83"/>
      <c r="Z444" s="114"/>
      <c r="AA444" s="115" t="str">
        <f t="shared" si="6"/>
        <v/>
      </c>
      <c r="AB444" s="115">
        <f t="shared" si="7"/>
        <v>0</v>
      </c>
      <c r="AC444" s="115">
        <f t="shared" si="8"/>
        <v>0</v>
      </c>
      <c r="AD444" s="115">
        <f t="shared" si="9"/>
        <v>0</v>
      </c>
    </row>
    <row r="445">
      <c r="A445" s="101"/>
      <c r="B445" s="121"/>
      <c r="C445" s="122"/>
      <c r="D445" s="103" t="str">
        <f t="shared" si="1"/>
        <v/>
      </c>
      <c r="E445" s="103" t="str">
        <f t="shared" si="2"/>
        <v/>
      </c>
      <c r="F445" s="103" t="str">
        <f t="shared" si="3"/>
        <v/>
      </c>
      <c r="G445" s="122"/>
      <c r="H445" s="103">
        <f t="shared" si="4"/>
        <v>0</v>
      </c>
      <c r="I445" s="108">
        <f t="shared" si="5"/>
        <v>0</v>
      </c>
      <c r="J445" s="114"/>
      <c r="K445" s="83"/>
      <c r="L445" s="83"/>
      <c r="M445" s="83"/>
      <c r="N445" s="83"/>
      <c r="O445" s="83"/>
      <c r="P445" s="83"/>
      <c r="Q445" s="83"/>
      <c r="R445" s="83"/>
      <c r="S445" s="83"/>
      <c r="T445" s="83"/>
      <c r="U445" s="83"/>
      <c r="V445" s="83"/>
      <c r="W445" s="83"/>
      <c r="X445" s="83"/>
      <c r="Y445" s="83"/>
      <c r="Z445" s="114"/>
      <c r="AA445" s="115" t="str">
        <f t="shared" si="6"/>
        <v/>
      </c>
      <c r="AB445" s="115">
        <f t="shared" si="7"/>
        <v>0</v>
      </c>
      <c r="AC445" s="115">
        <f t="shared" si="8"/>
        <v>0</v>
      </c>
      <c r="AD445" s="115">
        <f t="shared" si="9"/>
        <v>0</v>
      </c>
    </row>
    <row r="446">
      <c r="A446" s="101"/>
      <c r="B446" s="121"/>
      <c r="C446" s="122"/>
      <c r="D446" s="103" t="str">
        <f t="shared" si="1"/>
        <v/>
      </c>
      <c r="E446" s="103" t="str">
        <f t="shared" si="2"/>
        <v/>
      </c>
      <c r="F446" s="103" t="str">
        <f t="shared" si="3"/>
        <v/>
      </c>
      <c r="G446" s="122"/>
      <c r="H446" s="103">
        <f t="shared" si="4"/>
        <v>0</v>
      </c>
      <c r="I446" s="108">
        <f t="shared" si="5"/>
        <v>0</v>
      </c>
      <c r="J446" s="114"/>
      <c r="K446" s="83"/>
      <c r="L446" s="83"/>
      <c r="M446" s="83"/>
      <c r="N446" s="83"/>
      <c r="O446" s="83"/>
      <c r="P446" s="83"/>
      <c r="Q446" s="83"/>
      <c r="R446" s="83"/>
      <c r="S446" s="83"/>
      <c r="T446" s="83"/>
      <c r="U446" s="83"/>
      <c r="V446" s="83"/>
      <c r="W446" s="83"/>
      <c r="X446" s="83"/>
      <c r="Y446" s="83"/>
      <c r="Z446" s="114"/>
      <c r="AA446" s="115" t="str">
        <f t="shared" si="6"/>
        <v/>
      </c>
      <c r="AB446" s="115">
        <f t="shared" si="7"/>
        <v>0</v>
      </c>
      <c r="AC446" s="115">
        <f t="shared" si="8"/>
        <v>0</v>
      </c>
      <c r="AD446" s="115">
        <f t="shared" si="9"/>
        <v>0</v>
      </c>
    </row>
    <row r="447">
      <c r="A447" s="101"/>
      <c r="B447" s="121"/>
      <c r="C447" s="122"/>
      <c r="D447" s="103" t="str">
        <f t="shared" si="1"/>
        <v/>
      </c>
      <c r="E447" s="103" t="str">
        <f t="shared" si="2"/>
        <v/>
      </c>
      <c r="F447" s="103" t="str">
        <f t="shared" si="3"/>
        <v/>
      </c>
      <c r="G447" s="122"/>
      <c r="H447" s="103">
        <f t="shared" si="4"/>
        <v>0</v>
      </c>
      <c r="I447" s="108">
        <f t="shared" si="5"/>
        <v>0</v>
      </c>
      <c r="J447" s="114"/>
      <c r="K447" s="83"/>
      <c r="L447" s="83"/>
      <c r="M447" s="83"/>
      <c r="N447" s="83"/>
      <c r="O447" s="83"/>
      <c r="P447" s="83"/>
      <c r="Q447" s="83"/>
      <c r="R447" s="83"/>
      <c r="S447" s="83"/>
      <c r="T447" s="83"/>
      <c r="U447" s="83"/>
      <c r="V447" s="83"/>
      <c r="W447" s="83"/>
      <c r="X447" s="83"/>
      <c r="Y447" s="83"/>
      <c r="Z447" s="114"/>
      <c r="AA447" s="115" t="str">
        <f t="shared" si="6"/>
        <v/>
      </c>
      <c r="AB447" s="115">
        <f t="shared" si="7"/>
        <v>0</v>
      </c>
      <c r="AC447" s="115">
        <f t="shared" si="8"/>
        <v>0</v>
      </c>
      <c r="AD447" s="115">
        <f t="shared" si="9"/>
        <v>0</v>
      </c>
    </row>
    <row r="448">
      <c r="A448" s="101"/>
      <c r="B448" s="121"/>
      <c r="C448" s="122"/>
      <c r="D448" s="103" t="str">
        <f t="shared" si="1"/>
        <v/>
      </c>
      <c r="E448" s="103" t="str">
        <f t="shared" si="2"/>
        <v/>
      </c>
      <c r="F448" s="103" t="str">
        <f t="shared" si="3"/>
        <v/>
      </c>
      <c r="G448" s="122"/>
      <c r="H448" s="103">
        <f t="shared" si="4"/>
        <v>0</v>
      </c>
      <c r="I448" s="108">
        <f t="shared" si="5"/>
        <v>0</v>
      </c>
      <c r="J448" s="114"/>
      <c r="K448" s="83"/>
      <c r="L448" s="83"/>
      <c r="M448" s="83"/>
      <c r="N448" s="83"/>
      <c r="O448" s="83"/>
      <c r="P448" s="83"/>
      <c r="Q448" s="83"/>
      <c r="R448" s="83"/>
      <c r="S448" s="83"/>
      <c r="T448" s="83"/>
      <c r="U448" s="83"/>
      <c r="V448" s="83"/>
      <c r="W448" s="83"/>
      <c r="X448" s="83"/>
      <c r="Y448" s="83"/>
      <c r="Z448" s="114"/>
      <c r="AA448" s="115" t="str">
        <f t="shared" si="6"/>
        <v/>
      </c>
      <c r="AB448" s="115">
        <f t="shared" si="7"/>
        <v>0</v>
      </c>
      <c r="AC448" s="115">
        <f t="shared" si="8"/>
        <v>0</v>
      </c>
      <c r="AD448" s="115">
        <f t="shared" si="9"/>
        <v>0</v>
      </c>
    </row>
    <row r="449">
      <c r="A449" s="101"/>
      <c r="B449" s="121"/>
      <c r="C449" s="122"/>
      <c r="D449" s="103" t="str">
        <f t="shared" si="1"/>
        <v/>
      </c>
      <c r="E449" s="103" t="str">
        <f t="shared" si="2"/>
        <v/>
      </c>
      <c r="F449" s="103" t="str">
        <f t="shared" si="3"/>
        <v/>
      </c>
      <c r="G449" s="122"/>
      <c r="H449" s="103">
        <f t="shared" si="4"/>
        <v>0</v>
      </c>
      <c r="I449" s="108">
        <f t="shared" si="5"/>
        <v>0</v>
      </c>
      <c r="J449" s="114"/>
      <c r="K449" s="83"/>
      <c r="L449" s="83"/>
      <c r="M449" s="83"/>
      <c r="N449" s="83"/>
      <c r="O449" s="83"/>
      <c r="P449" s="83"/>
      <c r="Q449" s="83"/>
      <c r="R449" s="83"/>
      <c r="S449" s="83"/>
      <c r="T449" s="83"/>
      <c r="U449" s="83"/>
      <c r="V449" s="83"/>
      <c r="W449" s="83"/>
      <c r="X449" s="83"/>
      <c r="Y449" s="83"/>
      <c r="Z449" s="114"/>
      <c r="AA449" s="115" t="str">
        <f t="shared" si="6"/>
        <v/>
      </c>
      <c r="AB449" s="115">
        <f t="shared" si="7"/>
        <v>0</v>
      </c>
      <c r="AC449" s="115">
        <f t="shared" si="8"/>
        <v>0</v>
      </c>
      <c r="AD449" s="115">
        <f t="shared" si="9"/>
        <v>0</v>
      </c>
    </row>
    <row r="450">
      <c r="A450" s="101"/>
      <c r="B450" s="121"/>
      <c r="C450" s="122"/>
      <c r="D450" s="103" t="str">
        <f t="shared" si="1"/>
        <v/>
      </c>
      <c r="E450" s="103" t="str">
        <f t="shared" si="2"/>
        <v/>
      </c>
      <c r="F450" s="103" t="str">
        <f t="shared" si="3"/>
        <v/>
      </c>
      <c r="G450" s="122"/>
      <c r="H450" s="103">
        <f t="shared" si="4"/>
        <v>0</v>
      </c>
      <c r="I450" s="108">
        <f t="shared" si="5"/>
        <v>0</v>
      </c>
      <c r="J450" s="114"/>
      <c r="K450" s="83"/>
      <c r="L450" s="83"/>
      <c r="M450" s="83"/>
      <c r="N450" s="83"/>
      <c r="O450" s="83"/>
      <c r="P450" s="83"/>
      <c r="Q450" s="83"/>
      <c r="R450" s="83"/>
      <c r="S450" s="83"/>
      <c r="T450" s="83"/>
      <c r="U450" s="83"/>
      <c r="V450" s="83"/>
      <c r="W450" s="83"/>
      <c r="X450" s="83"/>
      <c r="Y450" s="83"/>
      <c r="Z450" s="114"/>
      <c r="AA450" s="115" t="str">
        <f t="shared" si="6"/>
        <v/>
      </c>
      <c r="AB450" s="115">
        <f t="shared" si="7"/>
        <v>0</v>
      </c>
      <c r="AC450" s="115">
        <f t="shared" si="8"/>
        <v>0</v>
      </c>
      <c r="AD450" s="115">
        <f t="shared" si="9"/>
        <v>0</v>
      </c>
    </row>
    <row r="451">
      <c r="A451" s="101"/>
      <c r="B451" s="121"/>
      <c r="C451" s="122"/>
      <c r="D451" s="103" t="str">
        <f t="shared" si="1"/>
        <v/>
      </c>
      <c r="E451" s="103" t="str">
        <f t="shared" si="2"/>
        <v/>
      </c>
      <c r="F451" s="103" t="str">
        <f t="shared" si="3"/>
        <v/>
      </c>
      <c r="G451" s="122"/>
      <c r="H451" s="103">
        <f t="shared" si="4"/>
        <v>0</v>
      </c>
      <c r="I451" s="108">
        <f t="shared" si="5"/>
        <v>0</v>
      </c>
      <c r="J451" s="114"/>
      <c r="K451" s="83"/>
      <c r="L451" s="83"/>
      <c r="M451" s="83"/>
      <c r="N451" s="83"/>
      <c r="O451" s="83"/>
      <c r="P451" s="83"/>
      <c r="Q451" s="83"/>
      <c r="R451" s="83"/>
      <c r="S451" s="83"/>
      <c r="T451" s="83"/>
      <c r="U451" s="83"/>
      <c r="V451" s="83"/>
      <c r="W451" s="83"/>
      <c r="X451" s="83"/>
      <c r="Y451" s="83"/>
      <c r="Z451" s="114"/>
      <c r="AA451" s="115" t="str">
        <f t="shared" si="6"/>
        <v/>
      </c>
      <c r="AB451" s="115">
        <f t="shared" si="7"/>
        <v>0</v>
      </c>
      <c r="AC451" s="115">
        <f t="shared" si="8"/>
        <v>0</v>
      </c>
      <c r="AD451" s="115">
        <f t="shared" si="9"/>
        <v>0</v>
      </c>
    </row>
    <row r="452">
      <c r="A452" s="101"/>
      <c r="B452" s="121"/>
      <c r="C452" s="122"/>
      <c r="D452" s="103" t="str">
        <f t="shared" si="1"/>
        <v/>
      </c>
      <c r="E452" s="103" t="str">
        <f t="shared" si="2"/>
        <v/>
      </c>
      <c r="F452" s="103" t="str">
        <f t="shared" si="3"/>
        <v/>
      </c>
      <c r="G452" s="122"/>
      <c r="H452" s="103">
        <f t="shared" si="4"/>
        <v>0</v>
      </c>
      <c r="I452" s="108">
        <f t="shared" si="5"/>
        <v>0</v>
      </c>
      <c r="J452" s="114"/>
      <c r="K452" s="83"/>
      <c r="L452" s="83"/>
      <c r="M452" s="83"/>
      <c r="N452" s="83"/>
      <c r="O452" s="83"/>
      <c r="P452" s="83"/>
      <c r="Q452" s="83"/>
      <c r="R452" s="83"/>
      <c r="S452" s="83"/>
      <c r="T452" s="83"/>
      <c r="U452" s="83"/>
      <c r="V452" s="83"/>
      <c r="W452" s="83"/>
      <c r="X452" s="83"/>
      <c r="Y452" s="83"/>
      <c r="Z452" s="114"/>
      <c r="AA452" s="115" t="str">
        <f t="shared" si="6"/>
        <v/>
      </c>
      <c r="AB452" s="115">
        <f t="shared" si="7"/>
        <v>0</v>
      </c>
      <c r="AC452" s="115">
        <f t="shared" si="8"/>
        <v>0</v>
      </c>
      <c r="AD452" s="115">
        <f t="shared" si="9"/>
        <v>0</v>
      </c>
    </row>
    <row r="453">
      <c r="A453" s="101"/>
      <c r="B453" s="121"/>
      <c r="C453" s="122"/>
      <c r="D453" s="103" t="str">
        <f t="shared" si="1"/>
        <v/>
      </c>
      <c r="E453" s="103" t="str">
        <f t="shared" si="2"/>
        <v/>
      </c>
      <c r="F453" s="103" t="str">
        <f t="shared" si="3"/>
        <v/>
      </c>
      <c r="G453" s="122"/>
      <c r="H453" s="103">
        <f t="shared" si="4"/>
        <v>0</v>
      </c>
      <c r="I453" s="108">
        <f t="shared" si="5"/>
        <v>0</v>
      </c>
      <c r="J453" s="114"/>
      <c r="K453" s="83"/>
      <c r="L453" s="83"/>
      <c r="M453" s="83"/>
      <c r="N453" s="83"/>
      <c r="O453" s="83"/>
      <c r="P453" s="83"/>
      <c r="Q453" s="83"/>
      <c r="R453" s="83"/>
      <c r="S453" s="83"/>
      <c r="T453" s="83"/>
      <c r="U453" s="83"/>
      <c r="V453" s="83"/>
      <c r="W453" s="83"/>
      <c r="X453" s="83"/>
      <c r="Y453" s="83"/>
      <c r="Z453" s="114"/>
      <c r="AA453" s="115" t="str">
        <f t="shared" si="6"/>
        <v/>
      </c>
      <c r="AB453" s="115">
        <f t="shared" si="7"/>
        <v>0</v>
      </c>
      <c r="AC453" s="115">
        <f t="shared" si="8"/>
        <v>0</v>
      </c>
      <c r="AD453" s="115">
        <f t="shared" si="9"/>
        <v>0</v>
      </c>
    </row>
    <row r="454">
      <c r="A454" s="101"/>
      <c r="B454" s="121"/>
      <c r="C454" s="122"/>
      <c r="D454" s="103" t="str">
        <f t="shared" si="1"/>
        <v/>
      </c>
      <c r="E454" s="103" t="str">
        <f t="shared" si="2"/>
        <v/>
      </c>
      <c r="F454" s="103" t="str">
        <f t="shared" si="3"/>
        <v/>
      </c>
      <c r="G454" s="122"/>
      <c r="H454" s="103">
        <f t="shared" si="4"/>
        <v>0</v>
      </c>
      <c r="I454" s="108">
        <f t="shared" si="5"/>
        <v>0</v>
      </c>
      <c r="J454" s="114"/>
      <c r="K454" s="83"/>
      <c r="L454" s="83"/>
      <c r="M454" s="83"/>
      <c r="N454" s="83"/>
      <c r="O454" s="83"/>
      <c r="P454" s="83"/>
      <c r="Q454" s="83"/>
      <c r="R454" s="83"/>
      <c r="S454" s="83"/>
      <c r="T454" s="83"/>
      <c r="U454" s="83"/>
      <c r="V454" s="83"/>
      <c r="W454" s="83"/>
      <c r="X454" s="83"/>
      <c r="Y454" s="83"/>
      <c r="Z454" s="114"/>
      <c r="AA454" s="115" t="str">
        <f t="shared" si="6"/>
        <v/>
      </c>
      <c r="AB454" s="115">
        <f t="shared" si="7"/>
        <v>0</v>
      </c>
      <c r="AC454" s="115">
        <f t="shared" si="8"/>
        <v>0</v>
      </c>
      <c r="AD454" s="115">
        <f t="shared" si="9"/>
        <v>0</v>
      </c>
    </row>
    <row r="455">
      <c r="A455" s="101"/>
      <c r="B455" s="121"/>
      <c r="C455" s="122"/>
      <c r="D455" s="103" t="str">
        <f t="shared" si="1"/>
        <v/>
      </c>
      <c r="E455" s="103" t="str">
        <f t="shared" si="2"/>
        <v/>
      </c>
      <c r="F455" s="103" t="str">
        <f t="shared" si="3"/>
        <v/>
      </c>
      <c r="G455" s="122"/>
      <c r="H455" s="103">
        <f t="shared" si="4"/>
        <v>0</v>
      </c>
      <c r="I455" s="108">
        <f t="shared" si="5"/>
        <v>0</v>
      </c>
      <c r="J455" s="114"/>
      <c r="K455" s="83"/>
      <c r="L455" s="83"/>
      <c r="M455" s="83"/>
      <c r="N455" s="83"/>
      <c r="O455" s="83"/>
      <c r="P455" s="83"/>
      <c r="Q455" s="83"/>
      <c r="R455" s="83"/>
      <c r="S455" s="83"/>
      <c r="T455" s="83"/>
      <c r="U455" s="83"/>
      <c r="V455" s="83"/>
      <c r="W455" s="83"/>
      <c r="X455" s="83"/>
      <c r="Y455" s="83"/>
      <c r="Z455" s="114"/>
      <c r="AA455" s="115" t="str">
        <f t="shared" si="6"/>
        <v/>
      </c>
      <c r="AB455" s="115">
        <f t="shared" si="7"/>
        <v>0</v>
      </c>
      <c r="AC455" s="115">
        <f t="shared" si="8"/>
        <v>0</v>
      </c>
      <c r="AD455" s="115">
        <f t="shared" si="9"/>
        <v>0</v>
      </c>
    </row>
    <row r="456">
      <c r="A456" s="101"/>
      <c r="B456" s="121"/>
      <c r="C456" s="122"/>
      <c r="D456" s="103" t="str">
        <f t="shared" si="1"/>
        <v/>
      </c>
      <c r="E456" s="103" t="str">
        <f t="shared" si="2"/>
        <v/>
      </c>
      <c r="F456" s="103" t="str">
        <f t="shared" si="3"/>
        <v/>
      </c>
      <c r="G456" s="122"/>
      <c r="H456" s="103">
        <f t="shared" si="4"/>
        <v>0</v>
      </c>
      <c r="I456" s="108">
        <f t="shared" si="5"/>
        <v>0</v>
      </c>
      <c r="J456" s="114"/>
      <c r="K456" s="83"/>
      <c r="L456" s="83"/>
      <c r="M456" s="83"/>
      <c r="N456" s="83"/>
      <c r="O456" s="83"/>
      <c r="P456" s="83"/>
      <c r="Q456" s="83"/>
      <c r="R456" s="83"/>
      <c r="S456" s="83"/>
      <c r="T456" s="83"/>
      <c r="U456" s="83"/>
      <c r="V456" s="83"/>
      <c r="W456" s="83"/>
      <c r="X456" s="83"/>
      <c r="Y456" s="83"/>
      <c r="Z456" s="114"/>
      <c r="AA456" s="115" t="str">
        <f t="shared" si="6"/>
        <v/>
      </c>
      <c r="AB456" s="115">
        <f t="shared" si="7"/>
        <v>0</v>
      </c>
      <c r="AC456" s="115">
        <f t="shared" si="8"/>
        <v>0</v>
      </c>
      <c r="AD456" s="115">
        <f t="shared" si="9"/>
        <v>0</v>
      </c>
    </row>
    <row r="457">
      <c r="A457" s="101"/>
      <c r="B457" s="121"/>
      <c r="C457" s="122"/>
      <c r="D457" s="103" t="str">
        <f t="shared" si="1"/>
        <v/>
      </c>
      <c r="E457" s="103" t="str">
        <f t="shared" si="2"/>
        <v/>
      </c>
      <c r="F457" s="103" t="str">
        <f t="shared" si="3"/>
        <v/>
      </c>
      <c r="G457" s="122"/>
      <c r="H457" s="103">
        <f t="shared" si="4"/>
        <v>0</v>
      </c>
      <c r="I457" s="108">
        <f t="shared" si="5"/>
        <v>0</v>
      </c>
      <c r="J457" s="114"/>
      <c r="K457" s="83"/>
      <c r="L457" s="83"/>
      <c r="M457" s="83"/>
      <c r="N457" s="83"/>
      <c r="O457" s="83"/>
      <c r="P457" s="83"/>
      <c r="Q457" s="83"/>
      <c r="R457" s="83"/>
      <c r="S457" s="83"/>
      <c r="T457" s="83"/>
      <c r="U457" s="83"/>
      <c r="V457" s="83"/>
      <c r="W457" s="83"/>
      <c r="X457" s="83"/>
      <c r="Y457" s="83"/>
      <c r="Z457" s="114"/>
      <c r="AA457" s="115" t="str">
        <f t="shared" si="6"/>
        <v/>
      </c>
      <c r="AB457" s="115">
        <f t="shared" si="7"/>
        <v>0</v>
      </c>
      <c r="AC457" s="115">
        <f t="shared" si="8"/>
        <v>0</v>
      </c>
      <c r="AD457" s="115">
        <f t="shared" si="9"/>
        <v>0</v>
      </c>
    </row>
    <row r="458">
      <c r="A458" s="101"/>
      <c r="B458" s="121"/>
      <c r="C458" s="122"/>
      <c r="D458" s="103" t="str">
        <f t="shared" si="1"/>
        <v/>
      </c>
      <c r="E458" s="103" t="str">
        <f t="shared" si="2"/>
        <v/>
      </c>
      <c r="F458" s="103" t="str">
        <f t="shared" si="3"/>
        <v/>
      </c>
      <c r="G458" s="122"/>
      <c r="H458" s="103">
        <f t="shared" si="4"/>
        <v>0</v>
      </c>
      <c r="I458" s="108">
        <f t="shared" si="5"/>
        <v>0</v>
      </c>
      <c r="J458" s="114"/>
      <c r="K458" s="83"/>
      <c r="L458" s="83"/>
      <c r="M458" s="83"/>
      <c r="N458" s="83"/>
      <c r="O458" s="83"/>
      <c r="P458" s="83"/>
      <c r="Q458" s="83"/>
      <c r="R458" s="83"/>
      <c r="S458" s="83"/>
      <c r="T458" s="83"/>
      <c r="U458" s="83"/>
      <c r="V458" s="83"/>
      <c r="W458" s="83"/>
      <c r="X458" s="83"/>
      <c r="Y458" s="83"/>
      <c r="Z458" s="114"/>
      <c r="AA458" s="115" t="str">
        <f t="shared" si="6"/>
        <v/>
      </c>
      <c r="AB458" s="115">
        <f t="shared" si="7"/>
        <v>0</v>
      </c>
      <c r="AC458" s="115">
        <f t="shared" si="8"/>
        <v>0</v>
      </c>
      <c r="AD458" s="115">
        <f t="shared" si="9"/>
        <v>0</v>
      </c>
    </row>
    <row r="459">
      <c r="A459" s="101"/>
      <c r="B459" s="121"/>
      <c r="C459" s="122"/>
      <c r="D459" s="103" t="str">
        <f t="shared" si="1"/>
        <v/>
      </c>
      <c r="E459" s="103" t="str">
        <f t="shared" si="2"/>
        <v/>
      </c>
      <c r="F459" s="103" t="str">
        <f t="shared" si="3"/>
        <v/>
      </c>
      <c r="G459" s="122"/>
      <c r="H459" s="103">
        <f t="shared" si="4"/>
        <v>0</v>
      </c>
      <c r="I459" s="108">
        <f t="shared" si="5"/>
        <v>0</v>
      </c>
      <c r="J459" s="114"/>
      <c r="K459" s="83"/>
      <c r="L459" s="83"/>
      <c r="M459" s="83"/>
      <c r="N459" s="83"/>
      <c r="O459" s="83"/>
      <c r="P459" s="83"/>
      <c r="Q459" s="83"/>
      <c r="R459" s="83"/>
      <c r="S459" s="83"/>
      <c r="T459" s="83"/>
      <c r="U459" s="83"/>
      <c r="V459" s="83"/>
      <c r="W459" s="83"/>
      <c r="X459" s="83"/>
      <c r="Y459" s="83"/>
      <c r="Z459" s="114"/>
      <c r="AA459" s="115" t="str">
        <f t="shared" si="6"/>
        <v/>
      </c>
      <c r="AB459" s="115">
        <f t="shared" si="7"/>
        <v>0</v>
      </c>
      <c r="AC459" s="115">
        <f t="shared" si="8"/>
        <v>0</v>
      </c>
      <c r="AD459" s="115">
        <f t="shared" si="9"/>
        <v>0</v>
      </c>
    </row>
    <row r="460">
      <c r="A460" s="101"/>
      <c r="B460" s="121"/>
      <c r="C460" s="122"/>
      <c r="D460" s="103" t="str">
        <f t="shared" si="1"/>
        <v/>
      </c>
      <c r="E460" s="103" t="str">
        <f t="shared" si="2"/>
        <v/>
      </c>
      <c r="F460" s="103" t="str">
        <f t="shared" si="3"/>
        <v/>
      </c>
      <c r="G460" s="122"/>
      <c r="H460" s="103">
        <f t="shared" si="4"/>
        <v>0</v>
      </c>
      <c r="I460" s="108">
        <f t="shared" si="5"/>
        <v>0</v>
      </c>
      <c r="J460" s="114"/>
      <c r="K460" s="83"/>
      <c r="L460" s="83"/>
      <c r="M460" s="83"/>
      <c r="N460" s="83"/>
      <c r="O460" s="83"/>
      <c r="P460" s="83"/>
      <c r="Q460" s="83"/>
      <c r="R460" s="83"/>
      <c r="S460" s="83"/>
      <c r="T460" s="83"/>
      <c r="U460" s="83"/>
      <c r="V460" s="83"/>
      <c r="W460" s="83"/>
      <c r="X460" s="83"/>
      <c r="Y460" s="83"/>
      <c r="Z460" s="114"/>
      <c r="AA460" s="115" t="str">
        <f t="shared" si="6"/>
        <v/>
      </c>
      <c r="AB460" s="115">
        <f t="shared" si="7"/>
        <v>0</v>
      </c>
      <c r="AC460" s="115">
        <f t="shared" si="8"/>
        <v>0</v>
      </c>
      <c r="AD460" s="115">
        <f t="shared" si="9"/>
        <v>0</v>
      </c>
    </row>
    <row r="461">
      <c r="A461" s="101"/>
      <c r="B461" s="121"/>
      <c r="C461" s="122"/>
      <c r="D461" s="103" t="str">
        <f t="shared" si="1"/>
        <v/>
      </c>
      <c r="E461" s="103" t="str">
        <f t="shared" si="2"/>
        <v/>
      </c>
      <c r="F461" s="103" t="str">
        <f t="shared" si="3"/>
        <v/>
      </c>
      <c r="G461" s="122"/>
      <c r="H461" s="103">
        <f t="shared" si="4"/>
        <v>0</v>
      </c>
      <c r="I461" s="108">
        <f t="shared" si="5"/>
        <v>0</v>
      </c>
      <c r="J461" s="114"/>
      <c r="K461" s="83"/>
      <c r="L461" s="83"/>
      <c r="M461" s="83"/>
      <c r="N461" s="83"/>
      <c r="O461" s="83"/>
      <c r="P461" s="83"/>
      <c r="Q461" s="83"/>
      <c r="R461" s="83"/>
      <c r="S461" s="83"/>
      <c r="T461" s="83"/>
      <c r="U461" s="83"/>
      <c r="V461" s="83"/>
      <c r="W461" s="83"/>
      <c r="X461" s="83"/>
      <c r="Y461" s="83"/>
      <c r="Z461" s="114"/>
      <c r="AA461" s="115" t="str">
        <f t="shared" si="6"/>
        <v/>
      </c>
      <c r="AB461" s="115">
        <f t="shared" si="7"/>
        <v>0</v>
      </c>
      <c r="AC461" s="115">
        <f t="shared" si="8"/>
        <v>0</v>
      </c>
      <c r="AD461" s="115">
        <f t="shared" si="9"/>
        <v>0</v>
      </c>
    </row>
    <row r="462">
      <c r="A462" s="101"/>
      <c r="B462" s="121"/>
      <c r="C462" s="122"/>
      <c r="D462" s="103" t="str">
        <f t="shared" si="1"/>
        <v/>
      </c>
      <c r="E462" s="103" t="str">
        <f t="shared" si="2"/>
        <v/>
      </c>
      <c r="F462" s="103" t="str">
        <f t="shared" si="3"/>
        <v/>
      </c>
      <c r="G462" s="122"/>
      <c r="H462" s="103">
        <f t="shared" si="4"/>
        <v>0</v>
      </c>
      <c r="I462" s="108">
        <f t="shared" si="5"/>
        <v>0</v>
      </c>
      <c r="J462" s="114"/>
      <c r="K462" s="83"/>
      <c r="L462" s="83"/>
      <c r="M462" s="83"/>
      <c r="N462" s="83"/>
      <c r="O462" s="83"/>
      <c r="P462" s="83"/>
      <c r="Q462" s="83"/>
      <c r="R462" s="83"/>
      <c r="S462" s="83"/>
      <c r="T462" s="83"/>
      <c r="U462" s="83"/>
      <c r="V462" s="83"/>
      <c r="W462" s="83"/>
      <c r="X462" s="83"/>
      <c r="Y462" s="83"/>
      <c r="Z462" s="114"/>
      <c r="AA462" s="115" t="str">
        <f t="shared" si="6"/>
        <v/>
      </c>
      <c r="AB462" s="115">
        <f t="shared" si="7"/>
        <v>0</v>
      </c>
      <c r="AC462" s="115">
        <f t="shared" si="8"/>
        <v>0</v>
      </c>
      <c r="AD462" s="115">
        <f t="shared" si="9"/>
        <v>0</v>
      </c>
    </row>
    <row r="463">
      <c r="A463" s="101"/>
      <c r="B463" s="121"/>
      <c r="C463" s="122"/>
      <c r="D463" s="103" t="str">
        <f t="shared" si="1"/>
        <v/>
      </c>
      <c r="E463" s="103" t="str">
        <f t="shared" si="2"/>
        <v/>
      </c>
      <c r="F463" s="103" t="str">
        <f t="shared" si="3"/>
        <v/>
      </c>
      <c r="G463" s="122"/>
      <c r="H463" s="103">
        <f t="shared" si="4"/>
        <v>0</v>
      </c>
      <c r="I463" s="108">
        <f t="shared" si="5"/>
        <v>0</v>
      </c>
      <c r="J463" s="114"/>
      <c r="K463" s="83"/>
      <c r="L463" s="83"/>
      <c r="M463" s="83"/>
      <c r="N463" s="83"/>
      <c r="O463" s="83"/>
      <c r="P463" s="83"/>
      <c r="Q463" s="83"/>
      <c r="R463" s="83"/>
      <c r="S463" s="83"/>
      <c r="T463" s="83"/>
      <c r="U463" s="83"/>
      <c r="V463" s="83"/>
      <c r="W463" s="83"/>
      <c r="X463" s="83"/>
      <c r="Y463" s="83"/>
      <c r="Z463" s="114"/>
      <c r="AA463" s="115" t="str">
        <f t="shared" si="6"/>
        <v/>
      </c>
      <c r="AB463" s="115">
        <f t="shared" si="7"/>
        <v>0</v>
      </c>
      <c r="AC463" s="115">
        <f t="shared" si="8"/>
        <v>0</v>
      </c>
      <c r="AD463" s="115">
        <f t="shared" si="9"/>
        <v>0</v>
      </c>
    </row>
    <row r="464">
      <c r="A464" s="101"/>
      <c r="B464" s="121"/>
      <c r="C464" s="122"/>
      <c r="D464" s="103" t="str">
        <f t="shared" si="1"/>
        <v/>
      </c>
      <c r="E464" s="103" t="str">
        <f t="shared" si="2"/>
        <v/>
      </c>
      <c r="F464" s="103" t="str">
        <f t="shared" si="3"/>
        <v/>
      </c>
      <c r="G464" s="122"/>
      <c r="H464" s="103">
        <f t="shared" si="4"/>
        <v>0</v>
      </c>
      <c r="I464" s="108">
        <f t="shared" si="5"/>
        <v>0</v>
      </c>
      <c r="J464" s="114"/>
      <c r="K464" s="83"/>
      <c r="L464" s="83"/>
      <c r="M464" s="83"/>
      <c r="N464" s="83"/>
      <c r="O464" s="83"/>
      <c r="P464" s="83"/>
      <c r="Q464" s="83"/>
      <c r="R464" s="83"/>
      <c r="S464" s="83"/>
      <c r="T464" s="83"/>
      <c r="U464" s="83"/>
      <c r="V464" s="83"/>
      <c r="W464" s="83"/>
      <c r="X464" s="83"/>
      <c r="Y464" s="83"/>
      <c r="Z464" s="114"/>
      <c r="AA464" s="115" t="str">
        <f t="shared" si="6"/>
        <v/>
      </c>
      <c r="AB464" s="115">
        <f t="shared" si="7"/>
        <v>0</v>
      </c>
      <c r="AC464" s="115">
        <f t="shared" si="8"/>
        <v>0</v>
      </c>
      <c r="AD464" s="115">
        <f t="shared" si="9"/>
        <v>0</v>
      </c>
    </row>
    <row r="465">
      <c r="A465" s="101"/>
      <c r="B465" s="121"/>
      <c r="C465" s="122"/>
      <c r="D465" s="103" t="str">
        <f t="shared" si="1"/>
        <v/>
      </c>
      <c r="E465" s="103" t="str">
        <f t="shared" si="2"/>
        <v/>
      </c>
      <c r="F465" s="103" t="str">
        <f t="shared" si="3"/>
        <v/>
      </c>
      <c r="G465" s="122"/>
      <c r="H465" s="103">
        <f t="shared" si="4"/>
        <v>0</v>
      </c>
      <c r="I465" s="108">
        <f t="shared" si="5"/>
        <v>0</v>
      </c>
      <c r="J465" s="114"/>
      <c r="K465" s="83"/>
      <c r="L465" s="83"/>
      <c r="M465" s="83"/>
      <c r="N465" s="83"/>
      <c r="O465" s="83"/>
      <c r="P465" s="83"/>
      <c r="Q465" s="83"/>
      <c r="R465" s="83"/>
      <c r="S465" s="83"/>
      <c r="T465" s="83"/>
      <c r="U465" s="83"/>
      <c r="V465" s="83"/>
      <c r="W465" s="83"/>
      <c r="X465" s="83"/>
      <c r="Y465" s="83"/>
      <c r="Z465" s="114"/>
      <c r="AA465" s="115" t="str">
        <f t="shared" si="6"/>
        <v/>
      </c>
      <c r="AB465" s="115">
        <f t="shared" si="7"/>
        <v>0</v>
      </c>
      <c r="AC465" s="115">
        <f t="shared" si="8"/>
        <v>0</v>
      </c>
      <c r="AD465" s="115">
        <f t="shared" si="9"/>
        <v>0</v>
      </c>
    </row>
    <row r="466">
      <c r="A466" s="101"/>
      <c r="B466" s="121"/>
      <c r="C466" s="122"/>
      <c r="D466" s="103" t="str">
        <f t="shared" si="1"/>
        <v/>
      </c>
      <c r="E466" s="103" t="str">
        <f t="shared" si="2"/>
        <v/>
      </c>
      <c r="F466" s="103" t="str">
        <f t="shared" si="3"/>
        <v/>
      </c>
      <c r="G466" s="122"/>
      <c r="H466" s="103">
        <f t="shared" si="4"/>
        <v>0</v>
      </c>
      <c r="I466" s="108">
        <f t="shared" si="5"/>
        <v>0</v>
      </c>
      <c r="J466" s="114"/>
      <c r="K466" s="83"/>
      <c r="L466" s="83"/>
      <c r="M466" s="83"/>
      <c r="N466" s="83"/>
      <c r="O466" s="83"/>
      <c r="P466" s="83"/>
      <c r="Q466" s="83"/>
      <c r="R466" s="83"/>
      <c r="S466" s="83"/>
      <c r="T466" s="83"/>
      <c r="U466" s="83"/>
      <c r="V466" s="83"/>
      <c r="W466" s="83"/>
      <c r="X466" s="83"/>
      <c r="Y466" s="83"/>
      <c r="Z466" s="114"/>
      <c r="AA466" s="115" t="str">
        <f t="shared" si="6"/>
        <v/>
      </c>
      <c r="AB466" s="115">
        <f t="shared" si="7"/>
        <v>0</v>
      </c>
      <c r="AC466" s="115">
        <f t="shared" si="8"/>
        <v>0</v>
      </c>
      <c r="AD466" s="115">
        <f t="shared" si="9"/>
        <v>0</v>
      </c>
    </row>
    <row r="467">
      <c r="A467" s="101"/>
      <c r="B467" s="121"/>
      <c r="C467" s="122"/>
      <c r="D467" s="103" t="str">
        <f t="shared" si="1"/>
        <v/>
      </c>
      <c r="E467" s="103" t="str">
        <f t="shared" si="2"/>
        <v/>
      </c>
      <c r="F467" s="103" t="str">
        <f t="shared" si="3"/>
        <v/>
      </c>
      <c r="G467" s="122"/>
      <c r="H467" s="103">
        <f t="shared" si="4"/>
        <v>0</v>
      </c>
      <c r="I467" s="108">
        <f t="shared" si="5"/>
        <v>0</v>
      </c>
      <c r="J467" s="114"/>
      <c r="K467" s="83"/>
      <c r="L467" s="83"/>
      <c r="M467" s="83"/>
      <c r="N467" s="83"/>
      <c r="O467" s="83"/>
      <c r="P467" s="83"/>
      <c r="Q467" s="83"/>
      <c r="R467" s="83"/>
      <c r="S467" s="83"/>
      <c r="T467" s="83"/>
      <c r="U467" s="83"/>
      <c r="V467" s="83"/>
      <c r="W467" s="83"/>
      <c r="X467" s="83"/>
      <c r="Y467" s="83"/>
      <c r="Z467" s="114"/>
      <c r="AA467" s="115" t="str">
        <f t="shared" si="6"/>
        <v/>
      </c>
      <c r="AB467" s="115">
        <f t="shared" si="7"/>
        <v>0</v>
      </c>
      <c r="AC467" s="115">
        <f t="shared" si="8"/>
        <v>0</v>
      </c>
      <c r="AD467" s="115">
        <f t="shared" si="9"/>
        <v>0</v>
      </c>
    </row>
    <row r="468">
      <c r="A468" s="101"/>
      <c r="B468" s="121"/>
      <c r="C468" s="122"/>
      <c r="D468" s="103" t="str">
        <f t="shared" si="1"/>
        <v/>
      </c>
      <c r="E468" s="103" t="str">
        <f t="shared" si="2"/>
        <v/>
      </c>
      <c r="F468" s="103" t="str">
        <f t="shared" si="3"/>
        <v/>
      </c>
      <c r="G468" s="122"/>
      <c r="H468" s="103">
        <f t="shared" si="4"/>
        <v>0</v>
      </c>
      <c r="I468" s="108">
        <f t="shared" si="5"/>
        <v>0</v>
      </c>
      <c r="J468" s="114"/>
      <c r="K468" s="83"/>
      <c r="L468" s="83"/>
      <c r="M468" s="83"/>
      <c r="N468" s="83"/>
      <c r="O468" s="83"/>
      <c r="P468" s="83"/>
      <c r="Q468" s="83"/>
      <c r="R468" s="83"/>
      <c r="S468" s="83"/>
      <c r="T468" s="83"/>
      <c r="U468" s="83"/>
      <c r="V468" s="83"/>
      <c r="W468" s="83"/>
      <c r="X468" s="83"/>
      <c r="Y468" s="83"/>
      <c r="Z468" s="114"/>
      <c r="AA468" s="115" t="str">
        <f t="shared" si="6"/>
        <v/>
      </c>
      <c r="AB468" s="115">
        <f t="shared" si="7"/>
        <v>0</v>
      </c>
      <c r="AC468" s="115">
        <f t="shared" si="8"/>
        <v>0</v>
      </c>
      <c r="AD468" s="115">
        <f t="shared" si="9"/>
        <v>0</v>
      </c>
    </row>
    <row r="469">
      <c r="A469" s="101"/>
      <c r="B469" s="121"/>
      <c r="C469" s="122"/>
      <c r="D469" s="103" t="str">
        <f t="shared" si="1"/>
        <v/>
      </c>
      <c r="E469" s="103" t="str">
        <f t="shared" si="2"/>
        <v/>
      </c>
      <c r="F469" s="103" t="str">
        <f t="shared" si="3"/>
        <v/>
      </c>
      <c r="G469" s="122"/>
      <c r="H469" s="103">
        <f t="shared" si="4"/>
        <v>0</v>
      </c>
      <c r="I469" s="108">
        <f t="shared" si="5"/>
        <v>0</v>
      </c>
      <c r="J469" s="114"/>
      <c r="K469" s="83"/>
      <c r="L469" s="83"/>
      <c r="M469" s="83"/>
      <c r="N469" s="83"/>
      <c r="O469" s="83"/>
      <c r="P469" s="83"/>
      <c r="Q469" s="83"/>
      <c r="R469" s="83"/>
      <c r="S469" s="83"/>
      <c r="T469" s="83"/>
      <c r="U469" s="83"/>
      <c r="V469" s="83"/>
      <c r="W469" s="83"/>
      <c r="X469" s="83"/>
      <c r="Y469" s="83"/>
      <c r="Z469" s="114"/>
      <c r="AA469" s="115" t="str">
        <f t="shared" si="6"/>
        <v/>
      </c>
      <c r="AB469" s="115">
        <f t="shared" si="7"/>
        <v>0</v>
      </c>
      <c r="AC469" s="115">
        <f t="shared" si="8"/>
        <v>0</v>
      </c>
      <c r="AD469" s="115">
        <f t="shared" si="9"/>
        <v>0</v>
      </c>
    </row>
    <row r="470">
      <c r="A470" s="101"/>
      <c r="B470" s="121"/>
      <c r="C470" s="122"/>
      <c r="D470" s="103" t="str">
        <f t="shared" si="1"/>
        <v/>
      </c>
      <c r="E470" s="103" t="str">
        <f t="shared" si="2"/>
        <v/>
      </c>
      <c r="F470" s="103" t="str">
        <f t="shared" si="3"/>
        <v/>
      </c>
      <c r="G470" s="122"/>
      <c r="H470" s="103">
        <f t="shared" si="4"/>
        <v>0</v>
      </c>
      <c r="I470" s="108">
        <f t="shared" si="5"/>
        <v>0</v>
      </c>
      <c r="J470" s="114"/>
      <c r="K470" s="83"/>
      <c r="L470" s="83"/>
      <c r="M470" s="83"/>
      <c r="N470" s="83"/>
      <c r="O470" s="83"/>
      <c r="P470" s="83"/>
      <c r="Q470" s="83"/>
      <c r="R470" s="83"/>
      <c r="S470" s="83"/>
      <c r="T470" s="83"/>
      <c r="U470" s="83"/>
      <c r="V470" s="83"/>
      <c r="W470" s="83"/>
      <c r="X470" s="83"/>
      <c r="Y470" s="83"/>
      <c r="Z470" s="114"/>
      <c r="AA470" s="115" t="str">
        <f t="shared" si="6"/>
        <v/>
      </c>
      <c r="AB470" s="115">
        <f t="shared" si="7"/>
        <v>0</v>
      </c>
      <c r="AC470" s="115">
        <f t="shared" si="8"/>
        <v>0</v>
      </c>
      <c r="AD470" s="115">
        <f t="shared" si="9"/>
        <v>0</v>
      </c>
    </row>
    <row r="471">
      <c r="A471" s="101"/>
      <c r="B471" s="121"/>
      <c r="C471" s="122"/>
      <c r="D471" s="103" t="str">
        <f t="shared" si="1"/>
        <v/>
      </c>
      <c r="E471" s="103" t="str">
        <f t="shared" si="2"/>
        <v/>
      </c>
      <c r="F471" s="103" t="str">
        <f t="shared" si="3"/>
        <v/>
      </c>
      <c r="G471" s="122"/>
      <c r="H471" s="103">
        <f t="shared" si="4"/>
        <v>0</v>
      </c>
      <c r="I471" s="108">
        <f t="shared" si="5"/>
        <v>0</v>
      </c>
      <c r="J471" s="114"/>
      <c r="K471" s="83"/>
      <c r="L471" s="83"/>
      <c r="M471" s="83"/>
      <c r="N471" s="83"/>
      <c r="O471" s="83"/>
      <c r="P471" s="83"/>
      <c r="Q471" s="83"/>
      <c r="R471" s="83"/>
      <c r="S471" s="83"/>
      <c r="T471" s="83"/>
      <c r="U471" s="83"/>
      <c r="V471" s="83"/>
      <c r="W471" s="83"/>
      <c r="X471" s="83"/>
      <c r="Y471" s="83"/>
      <c r="Z471" s="114"/>
      <c r="AA471" s="115" t="str">
        <f t="shared" si="6"/>
        <v/>
      </c>
      <c r="AB471" s="115">
        <f t="shared" si="7"/>
        <v>0</v>
      </c>
      <c r="AC471" s="115">
        <f t="shared" si="8"/>
        <v>0</v>
      </c>
      <c r="AD471" s="115">
        <f t="shared" si="9"/>
        <v>0</v>
      </c>
    </row>
    <row r="472">
      <c r="A472" s="101"/>
      <c r="B472" s="121"/>
      <c r="C472" s="122"/>
      <c r="D472" s="103" t="str">
        <f t="shared" si="1"/>
        <v/>
      </c>
      <c r="E472" s="103" t="str">
        <f t="shared" si="2"/>
        <v/>
      </c>
      <c r="F472" s="103" t="str">
        <f t="shared" si="3"/>
        <v/>
      </c>
      <c r="G472" s="122"/>
      <c r="H472" s="103">
        <f t="shared" si="4"/>
        <v>0</v>
      </c>
      <c r="I472" s="108">
        <f t="shared" si="5"/>
        <v>0</v>
      </c>
      <c r="J472" s="114"/>
      <c r="K472" s="83"/>
      <c r="L472" s="83"/>
      <c r="M472" s="83"/>
      <c r="N472" s="83"/>
      <c r="O472" s="83"/>
      <c r="P472" s="83"/>
      <c r="Q472" s="83"/>
      <c r="R472" s="83"/>
      <c r="S472" s="83"/>
      <c r="T472" s="83"/>
      <c r="U472" s="83"/>
      <c r="V472" s="83"/>
      <c r="W472" s="83"/>
      <c r="X472" s="83"/>
      <c r="Y472" s="83"/>
      <c r="Z472" s="114"/>
      <c r="AA472" s="115" t="str">
        <f t="shared" si="6"/>
        <v/>
      </c>
      <c r="AB472" s="115">
        <f t="shared" si="7"/>
        <v>0</v>
      </c>
      <c r="AC472" s="115">
        <f t="shared" si="8"/>
        <v>0</v>
      </c>
      <c r="AD472" s="115">
        <f t="shared" si="9"/>
        <v>0</v>
      </c>
    </row>
    <row r="473">
      <c r="A473" s="101"/>
      <c r="B473" s="121"/>
      <c r="C473" s="122"/>
      <c r="D473" s="103" t="str">
        <f t="shared" si="1"/>
        <v/>
      </c>
      <c r="E473" s="103" t="str">
        <f t="shared" si="2"/>
        <v/>
      </c>
      <c r="F473" s="103" t="str">
        <f t="shared" si="3"/>
        <v/>
      </c>
      <c r="G473" s="122"/>
      <c r="H473" s="103">
        <f t="shared" si="4"/>
        <v>0</v>
      </c>
      <c r="I473" s="108">
        <f t="shared" si="5"/>
        <v>0</v>
      </c>
      <c r="J473" s="114"/>
      <c r="K473" s="83"/>
      <c r="L473" s="83"/>
      <c r="M473" s="83"/>
      <c r="N473" s="83"/>
      <c r="O473" s="83"/>
      <c r="P473" s="83"/>
      <c r="Q473" s="83"/>
      <c r="R473" s="83"/>
      <c r="S473" s="83"/>
      <c r="T473" s="83"/>
      <c r="U473" s="83"/>
      <c r="V473" s="83"/>
      <c r="W473" s="83"/>
      <c r="X473" s="83"/>
      <c r="Y473" s="83"/>
      <c r="Z473" s="114"/>
      <c r="AA473" s="115" t="str">
        <f t="shared" si="6"/>
        <v/>
      </c>
      <c r="AB473" s="115">
        <f t="shared" si="7"/>
        <v>0</v>
      </c>
      <c r="AC473" s="115">
        <f t="shared" si="8"/>
        <v>0</v>
      </c>
      <c r="AD473" s="115">
        <f t="shared" si="9"/>
        <v>0</v>
      </c>
    </row>
    <row r="474">
      <c r="A474" s="101"/>
      <c r="B474" s="121"/>
      <c r="C474" s="122"/>
      <c r="D474" s="103" t="str">
        <f t="shared" si="1"/>
        <v/>
      </c>
      <c r="E474" s="103" t="str">
        <f t="shared" si="2"/>
        <v/>
      </c>
      <c r="F474" s="103" t="str">
        <f t="shared" si="3"/>
        <v/>
      </c>
      <c r="G474" s="122"/>
      <c r="H474" s="103">
        <f t="shared" si="4"/>
        <v>0</v>
      </c>
      <c r="I474" s="108">
        <f t="shared" si="5"/>
        <v>0</v>
      </c>
      <c r="J474" s="114"/>
      <c r="K474" s="83"/>
      <c r="L474" s="83"/>
      <c r="M474" s="83"/>
      <c r="N474" s="83"/>
      <c r="O474" s="83"/>
      <c r="P474" s="83"/>
      <c r="Q474" s="83"/>
      <c r="R474" s="83"/>
      <c r="S474" s="83"/>
      <c r="T474" s="83"/>
      <c r="U474" s="83"/>
      <c r="V474" s="83"/>
      <c r="W474" s="83"/>
      <c r="X474" s="83"/>
      <c r="Y474" s="83"/>
      <c r="Z474" s="114"/>
      <c r="AA474" s="115" t="str">
        <f t="shared" si="6"/>
        <v/>
      </c>
      <c r="AB474" s="115">
        <f t="shared" si="7"/>
        <v>0</v>
      </c>
      <c r="AC474" s="115">
        <f t="shared" si="8"/>
        <v>0</v>
      </c>
      <c r="AD474" s="115">
        <f t="shared" si="9"/>
        <v>0</v>
      </c>
    </row>
    <row r="475">
      <c r="A475" s="101"/>
      <c r="B475" s="121"/>
      <c r="C475" s="122"/>
      <c r="D475" s="103" t="str">
        <f t="shared" si="1"/>
        <v/>
      </c>
      <c r="E475" s="103" t="str">
        <f t="shared" si="2"/>
        <v/>
      </c>
      <c r="F475" s="103" t="str">
        <f t="shared" si="3"/>
        <v/>
      </c>
      <c r="G475" s="122"/>
      <c r="H475" s="103">
        <f t="shared" si="4"/>
        <v>0</v>
      </c>
      <c r="I475" s="108">
        <f t="shared" si="5"/>
        <v>0</v>
      </c>
      <c r="J475" s="114"/>
      <c r="K475" s="83"/>
      <c r="L475" s="83"/>
      <c r="M475" s="83"/>
      <c r="N475" s="83"/>
      <c r="O475" s="83"/>
      <c r="P475" s="83"/>
      <c r="Q475" s="83"/>
      <c r="R475" s="83"/>
      <c r="S475" s="83"/>
      <c r="T475" s="83"/>
      <c r="U475" s="83"/>
      <c r="V475" s="83"/>
      <c r="W475" s="83"/>
      <c r="X475" s="83"/>
      <c r="Y475" s="83"/>
      <c r="Z475" s="114"/>
      <c r="AA475" s="115" t="str">
        <f t="shared" si="6"/>
        <v/>
      </c>
      <c r="AB475" s="115">
        <f t="shared" si="7"/>
        <v>0</v>
      </c>
      <c r="AC475" s="115">
        <f t="shared" si="8"/>
        <v>0</v>
      </c>
      <c r="AD475" s="115">
        <f t="shared" si="9"/>
        <v>0</v>
      </c>
    </row>
    <row r="476">
      <c r="A476" s="101"/>
      <c r="B476" s="121"/>
      <c r="C476" s="122"/>
      <c r="D476" s="103" t="str">
        <f t="shared" si="1"/>
        <v/>
      </c>
      <c r="E476" s="103" t="str">
        <f t="shared" si="2"/>
        <v/>
      </c>
      <c r="F476" s="103" t="str">
        <f t="shared" si="3"/>
        <v/>
      </c>
      <c r="G476" s="122"/>
      <c r="H476" s="103">
        <f t="shared" si="4"/>
        <v>0</v>
      </c>
      <c r="I476" s="108">
        <f t="shared" si="5"/>
        <v>0</v>
      </c>
      <c r="J476" s="114"/>
      <c r="K476" s="83"/>
      <c r="L476" s="83"/>
      <c r="M476" s="83"/>
      <c r="N476" s="83"/>
      <c r="O476" s="83"/>
      <c r="P476" s="83"/>
      <c r="Q476" s="83"/>
      <c r="R476" s="83"/>
      <c r="S476" s="83"/>
      <c r="T476" s="83"/>
      <c r="U476" s="83"/>
      <c r="V476" s="83"/>
      <c r="W476" s="83"/>
      <c r="X476" s="83"/>
      <c r="Y476" s="83"/>
      <c r="Z476" s="114"/>
      <c r="AA476" s="115" t="str">
        <f t="shared" si="6"/>
        <v/>
      </c>
      <c r="AB476" s="115">
        <f t="shared" si="7"/>
        <v>0</v>
      </c>
      <c r="AC476" s="115">
        <f t="shared" si="8"/>
        <v>0</v>
      </c>
      <c r="AD476" s="115">
        <f t="shared" si="9"/>
        <v>0</v>
      </c>
    </row>
    <row r="477">
      <c r="A477" s="101"/>
      <c r="B477" s="121"/>
      <c r="C477" s="122"/>
      <c r="D477" s="103" t="str">
        <f t="shared" si="1"/>
        <v/>
      </c>
      <c r="E477" s="103" t="str">
        <f t="shared" si="2"/>
        <v/>
      </c>
      <c r="F477" s="103" t="str">
        <f t="shared" si="3"/>
        <v/>
      </c>
      <c r="G477" s="122"/>
      <c r="H477" s="103">
        <f t="shared" si="4"/>
        <v>0</v>
      </c>
      <c r="I477" s="108">
        <f t="shared" si="5"/>
        <v>0</v>
      </c>
      <c r="J477" s="114"/>
      <c r="K477" s="83"/>
      <c r="L477" s="83"/>
      <c r="M477" s="83"/>
      <c r="N477" s="83"/>
      <c r="O477" s="83"/>
      <c r="P477" s="83"/>
      <c r="Q477" s="83"/>
      <c r="R477" s="83"/>
      <c r="S477" s="83"/>
      <c r="T477" s="83"/>
      <c r="U477" s="83"/>
      <c r="V477" s="83"/>
      <c r="W477" s="83"/>
      <c r="X477" s="83"/>
      <c r="Y477" s="83"/>
      <c r="Z477" s="114"/>
      <c r="AA477" s="115" t="str">
        <f t="shared" si="6"/>
        <v/>
      </c>
      <c r="AB477" s="115">
        <f t="shared" si="7"/>
        <v>0</v>
      </c>
      <c r="AC477" s="115">
        <f t="shared" si="8"/>
        <v>0</v>
      </c>
      <c r="AD477" s="115">
        <f t="shared" si="9"/>
        <v>0</v>
      </c>
    </row>
    <row r="478">
      <c r="A478" s="101"/>
      <c r="B478" s="121"/>
      <c r="C478" s="122"/>
      <c r="D478" s="103" t="str">
        <f t="shared" si="1"/>
        <v/>
      </c>
      <c r="E478" s="103" t="str">
        <f t="shared" si="2"/>
        <v/>
      </c>
      <c r="F478" s="103" t="str">
        <f t="shared" si="3"/>
        <v/>
      </c>
      <c r="G478" s="122"/>
      <c r="H478" s="103">
        <f t="shared" si="4"/>
        <v>0</v>
      </c>
      <c r="I478" s="108">
        <f t="shared" si="5"/>
        <v>0</v>
      </c>
      <c r="J478" s="114"/>
      <c r="K478" s="83"/>
      <c r="L478" s="83"/>
      <c r="M478" s="83"/>
      <c r="N478" s="83"/>
      <c r="O478" s="83"/>
      <c r="P478" s="83"/>
      <c r="Q478" s="83"/>
      <c r="R478" s="83"/>
      <c r="S478" s="83"/>
      <c r="T478" s="83"/>
      <c r="U478" s="83"/>
      <c r="V478" s="83"/>
      <c r="W478" s="83"/>
      <c r="X478" s="83"/>
      <c r="Y478" s="83"/>
      <c r="Z478" s="114"/>
      <c r="AA478" s="115" t="str">
        <f t="shared" si="6"/>
        <v/>
      </c>
      <c r="AB478" s="115">
        <f t="shared" si="7"/>
        <v>0</v>
      </c>
      <c r="AC478" s="115">
        <f t="shared" si="8"/>
        <v>0</v>
      </c>
      <c r="AD478" s="115">
        <f t="shared" si="9"/>
        <v>0</v>
      </c>
    </row>
    <row r="479">
      <c r="A479" s="101"/>
      <c r="B479" s="121"/>
      <c r="C479" s="122"/>
      <c r="D479" s="103" t="str">
        <f t="shared" si="1"/>
        <v/>
      </c>
      <c r="E479" s="103" t="str">
        <f t="shared" si="2"/>
        <v/>
      </c>
      <c r="F479" s="103" t="str">
        <f t="shared" si="3"/>
        <v/>
      </c>
      <c r="G479" s="122"/>
      <c r="H479" s="103">
        <f t="shared" si="4"/>
        <v>0</v>
      </c>
      <c r="I479" s="108">
        <f t="shared" si="5"/>
        <v>0</v>
      </c>
      <c r="J479" s="114"/>
      <c r="K479" s="83"/>
      <c r="L479" s="83"/>
      <c r="M479" s="83"/>
      <c r="N479" s="83"/>
      <c r="O479" s="83"/>
      <c r="P479" s="83"/>
      <c r="Q479" s="83"/>
      <c r="R479" s="83"/>
      <c r="S479" s="83"/>
      <c r="T479" s="83"/>
      <c r="U479" s="83"/>
      <c r="V479" s="83"/>
      <c r="W479" s="83"/>
      <c r="X479" s="83"/>
      <c r="Y479" s="83"/>
      <c r="Z479" s="114"/>
      <c r="AA479" s="115" t="str">
        <f t="shared" si="6"/>
        <v/>
      </c>
      <c r="AB479" s="115">
        <f t="shared" si="7"/>
        <v>0</v>
      </c>
      <c r="AC479" s="115">
        <f t="shared" si="8"/>
        <v>0</v>
      </c>
      <c r="AD479" s="115">
        <f t="shared" si="9"/>
        <v>0</v>
      </c>
    </row>
    <row r="480">
      <c r="A480" s="101"/>
      <c r="B480" s="121"/>
      <c r="C480" s="122"/>
      <c r="D480" s="103" t="str">
        <f t="shared" si="1"/>
        <v/>
      </c>
      <c r="E480" s="103" t="str">
        <f t="shared" si="2"/>
        <v/>
      </c>
      <c r="F480" s="103" t="str">
        <f t="shared" si="3"/>
        <v/>
      </c>
      <c r="G480" s="122"/>
      <c r="H480" s="103">
        <f t="shared" si="4"/>
        <v>0</v>
      </c>
      <c r="I480" s="108">
        <f t="shared" si="5"/>
        <v>0</v>
      </c>
      <c r="J480" s="114"/>
      <c r="K480" s="83"/>
      <c r="L480" s="83"/>
      <c r="M480" s="83"/>
      <c r="N480" s="83"/>
      <c r="O480" s="83"/>
      <c r="P480" s="83"/>
      <c r="Q480" s="83"/>
      <c r="R480" s="83"/>
      <c r="S480" s="83"/>
      <c r="T480" s="83"/>
      <c r="U480" s="83"/>
      <c r="V480" s="83"/>
      <c r="W480" s="83"/>
      <c r="X480" s="83"/>
      <c r="Y480" s="83"/>
      <c r="Z480" s="114"/>
      <c r="AA480" s="115" t="str">
        <f t="shared" si="6"/>
        <v/>
      </c>
      <c r="AB480" s="115">
        <f t="shared" si="7"/>
        <v>0</v>
      </c>
      <c r="AC480" s="115">
        <f t="shared" si="8"/>
        <v>0</v>
      </c>
      <c r="AD480" s="115">
        <f t="shared" si="9"/>
        <v>0</v>
      </c>
    </row>
    <row r="481">
      <c r="A481" s="101"/>
      <c r="B481" s="121"/>
      <c r="C481" s="122"/>
      <c r="D481" s="103" t="str">
        <f t="shared" si="1"/>
        <v/>
      </c>
      <c r="E481" s="103" t="str">
        <f t="shared" si="2"/>
        <v/>
      </c>
      <c r="F481" s="103" t="str">
        <f t="shared" si="3"/>
        <v/>
      </c>
      <c r="G481" s="122"/>
      <c r="H481" s="103">
        <f t="shared" si="4"/>
        <v>0</v>
      </c>
      <c r="I481" s="108">
        <f t="shared" si="5"/>
        <v>0</v>
      </c>
      <c r="J481" s="114"/>
      <c r="K481" s="83"/>
      <c r="L481" s="83"/>
      <c r="M481" s="83"/>
      <c r="N481" s="83"/>
      <c r="O481" s="83"/>
      <c r="P481" s="83"/>
      <c r="Q481" s="83"/>
      <c r="R481" s="83"/>
      <c r="S481" s="83"/>
      <c r="T481" s="83"/>
      <c r="U481" s="83"/>
      <c r="V481" s="83"/>
      <c r="W481" s="83"/>
      <c r="X481" s="83"/>
      <c r="Y481" s="83"/>
      <c r="Z481" s="114"/>
      <c r="AA481" s="115" t="str">
        <f t="shared" si="6"/>
        <v/>
      </c>
      <c r="AB481" s="115">
        <f t="shared" si="7"/>
        <v>0</v>
      </c>
      <c r="AC481" s="115">
        <f t="shared" si="8"/>
        <v>0</v>
      </c>
      <c r="AD481" s="115">
        <f t="shared" si="9"/>
        <v>0</v>
      </c>
    </row>
    <row r="482">
      <c r="A482" s="101"/>
      <c r="B482" s="121"/>
      <c r="C482" s="122"/>
      <c r="D482" s="103" t="str">
        <f t="shared" si="1"/>
        <v/>
      </c>
      <c r="E482" s="103" t="str">
        <f t="shared" si="2"/>
        <v/>
      </c>
      <c r="F482" s="103" t="str">
        <f t="shared" si="3"/>
        <v/>
      </c>
      <c r="G482" s="122"/>
      <c r="H482" s="103">
        <f t="shared" si="4"/>
        <v>0</v>
      </c>
      <c r="I482" s="108">
        <f t="shared" si="5"/>
        <v>0</v>
      </c>
      <c r="J482" s="114"/>
      <c r="K482" s="83"/>
      <c r="L482" s="83"/>
      <c r="M482" s="83"/>
      <c r="N482" s="83"/>
      <c r="O482" s="83"/>
      <c r="P482" s="83"/>
      <c r="Q482" s="83"/>
      <c r="R482" s="83"/>
      <c r="S482" s="83"/>
      <c r="T482" s="83"/>
      <c r="U482" s="83"/>
      <c r="V482" s="83"/>
      <c r="W482" s="83"/>
      <c r="X482" s="83"/>
      <c r="Y482" s="83"/>
      <c r="Z482" s="114"/>
      <c r="AA482" s="115" t="str">
        <f t="shared" si="6"/>
        <v/>
      </c>
      <c r="AB482" s="115">
        <f t="shared" si="7"/>
        <v>0</v>
      </c>
      <c r="AC482" s="115">
        <f t="shared" si="8"/>
        <v>0</v>
      </c>
      <c r="AD482" s="115">
        <f t="shared" si="9"/>
        <v>0</v>
      </c>
    </row>
    <row r="483">
      <c r="A483" s="101"/>
      <c r="B483" s="121"/>
      <c r="C483" s="122"/>
      <c r="D483" s="103" t="str">
        <f t="shared" si="1"/>
        <v/>
      </c>
      <c r="E483" s="103" t="str">
        <f t="shared" si="2"/>
        <v/>
      </c>
      <c r="F483" s="103" t="str">
        <f t="shared" si="3"/>
        <v/>
      </c>
      <c r="G483" s="122"/>
      <c r="H483" s="103">
        <f t="shared" si="4"/>
        <v>0</v>
      </c>
      <c r="I483" s="108">
        <f t="shared" si="5"/>
        <v>0</v>
      </c>
      <c r="J483" s="114"/>
      <c r="K483" s="83"/>
      <c r="L483" s="83"/>
      <c r="M483" s="83"/>
      <c r="N483" s="83"/>
      <c r="O483" s="83"/>
      <c r="P483" s="83"/>
      <c r="Q483" s="83"/>
      <c r="R483" s="83"/>
      <c r="S483" s="83"/>
      <c r="T483" s="83"/>
      <c r="U483" s="83"/>
      <c r="V483" s="83"/>
      <c r="W483" s="83"/>
      <c r="X483" s="83"/>
      <c r="Y483" s="83"/>
      <c r="Z483" s="114"/>
      <c r="AA483" s="115" t="str">
        <f t="shared" si="6"/>
        <v/>
      </c>
      <c r="AB483" s="115">
        <f t="shared" si="7"/>
        <v>0</v>
      </c>
      <c r="AC483" s="115">
        <f t="shared" si="8"/>
        <v>0</v>
      </c>
      <c r="AD483" s="115">
        <f t="shared" si="9"/>
        <v>0</v>
      </c>
    </row>
    <row r="484">
      <c r="A484" s="101"/>
      <c r="B484" s="121"/>
      <c r="C484" s="122"/>
      <c r="D484" s="103" t="str">
        <f t="shared" si="1"/>
        <v/>
      </c>
      <c r="E484" s="103" t="str">
        <f t="shared" si="2"/>
        <v/>
      </c>
      <c r="F484" s="103" t="str">
        <f t="shared" si="3"/>
        <v/>
      </c>
      <c r="G484" s="122"/>
      <c r="H484" s="103">
        <f t="shared" si="4"/>
        <v>0</v>
      </c>
      <c r="I484" s="108">
        <f t="shared" si="5"/>
        <v>0</v>
      </c>
      <c r="J484" s="114"/>
      <c r="K484" s="83"/>
      <c r="L484" s="83"/>
      <c r="M484" s="83"/>
      <c r="N484" s="83"/>
      <c r="O484" s="83"/>
      <c r="P484" s="83"/>
      <c r="Q484" s="83"/>
      <c r="R484" s="83"/>
      <c r="S484" s="83"/>
      <c r="T484" s="83"/>
      <c r="U484" s="83"/>
      <c r="V484" s="83"/>
      <c r="W484" s="83"/>
      <c r="X484" s="83"/>
      <c r="Y484" s="83"/>
      <c r="Z484" s="114"/>
      <c r="AA484" s="115" t="str">
        <f t="shared" si="6"/>
        <v/>
      </c>
      <c r="AB484" s="115">
        <f t="shared" si="7"/>
        <v>0</v>
      </c>
      <c r="AC484" s="115">
        <f t="shared" si="8"/>
        <v>0</v>
      </c>
      <c r="AD484" s="115">
        <f t="shared" si="9"/>
        <v>0</v>
      </c>
    </row>
    <row r="485">
      <c r="A485" s="101"/>
      <c r="B485" s="121"/>
      <c r="C485" s="122"/>
      <c r="D485" s="103" t="str">
        <f t="shared" si="1"/>
        <v/>
      </c>
      <c r="E485" s="103" t="str">
        <f t="shared" si="2"/>
        <v/>
      </c>
      <c r="F485" s="103" t="str">
        <f t="shared" si="3"/>
        <v/>
      </c>
      <c r="G485" s="122"/>
      <c r="H485" s="103">
        <f t="shared" si="4"/>
        <v>0</v>
      </c>
      <c r="I485" s="108">
        <f t="shared" si="5"/>
        <v>0</v>
      </c>
      <c r="J485" s="114"/>
      <c r="K485" s="83"/>
      <c r="L485" s="83"/>
      <c r="M485" s="83"/>
      <c r="N485" s="83"/>
      <c r="O485" s="83"/>
      <c r="P485" s="83"/>
      <c r="Q485" s="83"/>
      <c r="R485" s="83"/>
      <c r="S485" s="83"/>
      <c r="T485" s="83"/>
      <c r="U485" s="83"/>
      <c r="V485" s="83"/>
      <c r="W485" s="83"/>
      <c r="X485" s="83"/>
      <c r="Y485" s="83"/>
      <c r="Z485" s="114"/>
      <c r="AA485" s="115" t="str">
        <f t="shared" si="6"/>
        <v/>
      </c>
      <c r="AB485" s="115">
        <f t="shared" si="7"/>
        <v>0</v>
      </c>
      <c r="AC485" s="115">
        <f t="shared" si="8"/>
        <v>0</v>
      </c>
      <c r="AD485" s="115">
        <f t="shared" si="9"/>
        <v>0</v>
      </c>
    </row>
    <row r="486">
      <c r="A486" s="101"/>
      <c r="B486" s="121"/>
      <c r="C486" s="122"/>
      <c r="D486" s="103" t="str">
        <f t="shared" si="1"/>
        <v/>
      </c>
      <c r="E486" s="103" t="str">
        <f t="shared" si="2"/>
        <v/>
      </c>
      <c r="F486" s="103" t="str">
        <f t="shared" si="3"/>
        <v/>
      </c>
      <c r="G486" s="122"/>
      <c r="H486" s="103">
        <f t="shared" si="4"/>
        <v>0</v>
      </c>
      <c r="I486" s="108">
        <f t="shared" si="5"/>
        <v>0</v>
      </c>
      <c r="J486" s="114"/>
      <c r="K486" s="83"/>
      <c r="L486" s="83"/>
      <c r="M486" s="83"/>
      <c r="N486" s="83"/>
      <c r="O486" s="83"/>
      <c r="P486" s="83"/>
      <c r="Q486" s="83"/>
      <c r="R486" s="83"/>
      <c r="S486" s="83"/>
      <c r="T486" s="83"/>
      <c r="U486" s="83"/>
      <c r="V486" s="83"/>
      <c r="W486" s="83"/>
      <c r="X486" s="83"/>
      <c r="Y486" s="83"/>
      <c r="Z486" s="114"/>
      <c r="AA486" s="115" t="str">
        <f t="shared" si="6"/>
        <v/>
      </c>
      <c r="AB486" s="115">
        <f t="shared" si="7"/>
        <v>0</v>
      </c>
      <c r="AC486" s="115">
        <f t="shared" si="8"/>
        <v>0</v>
      </c>
      <c r="AD486" s="115">
        <f t="shared" si="9"/>
        <v>0</v>
      </c>
    </row>
    <row r="487">
      <c r="A487" s="101"/>
      <c r="B487" s="121"/>
      <c r="C487" s="122"/>
      <c r="D487" s="103" t="str">
        <f t="shared" si="1"/>
        <v/>
      </c>
      <c r="E487" s="103" t="str">
        <f t="shared" si="2"/>
        <v/>
      </c>
      <c r="F487" s="103" t="str">
        <f t="shared" si="3"/>
        <v/>
      </c>
      <c r="G487" s="122"/>
      <c r="H487" s="103">
        <f t="shared" si="4"/>
        <v>0</v>
      </c>
      <c r="I487" s="108">
        <f t="shared" si="5"/>
        <v>0</v>
      </c>
      <c r="J487" s="114"/>
      <c r="K487" s="83"/>
      <c r="L487" s="83"/>
      <c r="M487" s="83"/>
      <c r="N487" s="83"/>
      <c r="O487" s="83"/>
      <c r="P487" s="83"/>
      <c r="Q487" s="83"/>
      <c r="R487" s="83"/>
      <c r="S487" s="83"/>
      <c r="T487" s="83"/>
      <c r="U487" s="83"/>
      <c r="V487" s="83"/>
      <c r="W487" s="83"/>
      <c r="X487" s="83"/>
      <c r="Y487" s="83"/>
      <c r="Z487" s="114"/>
      <c r="AA487" s="115" t="str">
        <f t="shared" si="6"/>
        <v/>
      </c>
      <c r="AB487" s="115">
        <f t="shared" si="7"/>
        <v>0</v>
      </c>
      <c r="AC487" s="115">
        <f t="shared" si="8"/>
        <v>0</v>
      </c>
      <c r="AD487" s="115">
        <f t="shared" si="9"/>
        <v>0</v>
      </c>
    </row>
    <row r="488">
      <c r="A488" s="101"/>
      <c r="B488" s="121"/>
      <c r="C488" s="122"/>
      <c r="D488" s="103" t="str">
        <f t="shared" si="1"/>
        <v/>
      </c>
      <c r="E488" s="103" t="str">
        <f t="shared" si="2"/>
        <v/>
      </c>
      <c r="F488" s="103" t="str">
        <f t="shared" si="3"/>
        <v/>
      </c>
      <c r="G488" s="122"/>
      <c r="H488" s="103">
        <f t="shared" si="4"/>
        <v>0</v>
      </c>
      <c r="I488" s="108">
        <f t="shared" si="5"/>
        <v>0</v>
      </c>
      <c r="J488" s="114"/>
      <c r="K488" s="83"/>
      <c r="L488" s="83"/>
      <c r="M488" s="83"/>
      <c r="N488" s="83"/>
      <c r="O488" s="83"/>
      <c r="P488" s="83"/>
      <c r="Q488" s="83"/>
      <c r="R488" s="83"/>
      <c r="S488" s="83"/>
      <c r="T488" s="83"/>
      <c r="U488" s="83"/>
      <c r="V488" s="83"/>
      <c r="W488" s="83"/>
      <c r="X488" s="83"/>
      <c r="Y488" s="83"/>
      <c r="Z488" s="114"/>
      <c r="AA488" s="115" t="str">
        <f t="shared" si="6"/>
        <v/>
      </c>
      <c r="AB488" s="115">
        <f t="shared" si="7"/>
        <v>0</v>
      </c>
      <c r="AC488" s="115">
        <f t="shared" si="8"/>
        <v>0</v>
      </c>
      <c r="AD488" s="115">
        <f t="shared" si="9"/>
        <v>0</v>
      </c>
    </row>
    <row r="489">
      <c r="A489" s="101"/>
      <c r="B489" s="121"/>
      <c r="C489" s="122"/>
      <c r="D489" s="103" t="str">
        <f t="shared" si="1"/>
        <v/>
      </c>
      <c r="E489" s="103" t="str">
        <f t="shared" si="2"/>
        <v/>
      </c>
      <c r="F489" s="103" t="str">
        <f t="shared" si="3"/>
        <v/>
      </c>
      <c r="G489" s="122"/>
      <c r="H489" s="103">
        <f t="shared" si="4"/>
        <v>0</v>
      </c>
      <c r="I489" s="108">
        <f t="shared" si="5"/>
        <v>0</v>
      </c>
      <c r="J489" s="114"/>
      <c r="K489" s="83"/>
      <c r="L489" s="83"/>
      <c r="M489" s="83"/>
      <c r="N489" s="83"/>
      <c r="O489" s="83"/>
      <c r="P489" s="83"/>
      <c r="Q489" s="83"/>
      <c r="R489" s="83"/>
      <c r="S489" s="83"/>
      <c r="T489" s="83"/>
      <c r="U489" s="83"/>
      <c r="V489" s="83"/>
      <c r="W489" s="83"/>
      <c r="X489" s="83"/>
      <c r="Y489" s="83"/>
      <c r="Z489" s="114"/>
      <c r="AA489" s="115" t="str">
        <f t="shared" si="6"/>
        <v/>
      </c>
      <c r="AB489" s="115">
        <f t="shared" si="7"/>
        <v>0</v>
      </c>
      <c r="AC489" s="115">
        <f t="shared" si="8"/>
        <v>0</v>
      </c>
      <c r="AD489" s="115">
        <f t="shared" si="9"/>
        <v>0</v>
      </c>
    </row>
    <row r="490">
      <c r="A490" s="101"/>
      <c r="B490" s="121"/>
      <c r="C490" s="122"/>
      <c r="D490" s="103" t="str">
        <f t="shared" si="1"/>
        <v/>
      </c>
      <c r="E490" s="103" t="str">
        <f t="shared" si="2"/>
        <v/>
      </c>
      <c r="F490" s="103" t="str">
        <f t="shared" si="3"/>
        <v/>
      </c>
      <c r="G490" s="122"/>
      <c r="H490" s="103">
        <f t="shared" si="4"/>
        <v>0</v>
      </c>
      <c r="I490" s="108">
        <f t="shared" si="5"/>
        <v>0</v>
      </c>
      <c r="J490" s="114"/>
      <c r="K490" s="83"/>
      <c r="L490" s="83"/>
      <c r="M490" s="83"/>
      <c r="N490" s="83"/>
      <c r="O490" s="83"/>
      <c r="P490" s="83"/>
      <c r="Q490" s="83"/>
      <c r="R490" s="83"/>
      <c r="S490" s="83"/>
      <c r="T490" s="83"/>
      <c r="U490" s="83"/>
      <c r="V490" s="83"/>
      <c r="W490" s="83"/>
      <c r="X490" s="83"/>
      <c r="Y490" s="83"/>
      <c r="Z490" s="114"/>
      <c r="AA490" s="115" t="str">
        <f t="shared" si="6"/>
        <v/>
      </c>
      <c r="AB490" s="115">
        <f t="shared" si="7"/>
        <v>0</v>
      </c>
      <c r="AC490" s="115">
        <f t="shared" si="8"/>
        <v>0</v>
      </c>
      <c r="AD490" s="115">
        <f t="shared" si="9"/>
        <v>0</v>
      </c>
    </row>
    <row r="491">
      <c r="A491" s="101"/>
      <c r="B491" s="121"/>
      <c r="C491" s="122"/>
      <c r="D491" s="103" t="str">
        <f t="shared" si="1"/>
        <v/>
      </c>
      <c r="E491" s="103" t="str">
        <f t="shared" si="2"/>
        <v/>
      </c>
      <c r="F491" s="103" t="str">
        <f t="shared" si="3"/>
        <v/>
      </c>
      <c r="G491" s="122"/>
      <c r="H491" s="103">
        <f t="shared" si="4"/>
        <v>0</v>
      </c>
      <c r="I491" s="108">
        <f t="shared" si="5"/>
        <v>0</v>
      </c>
      <c r="J491" s="114"/>
      <c r="K491" s="83"/>
      <c r="L491" s="83"/>
      <c r="M491" s="83"/>
      <c r="N491" s="83"/>
      <c r="O491" s="83"/>
      <c r="P491" s="83"/>
      <c r="Q491" s="83"/>
      <c r="R491" s="83"/>
      <c r="S491" s="83"/>
      <c r="T491" s="83"/>
      <c r="U491" s="83"/>
      <c r="V491" s="83"/>
      <c r="W491" s="83"/>
      <c r="X491" s="83"/>
      <c r="Y491" s="83"/>
      <c r="Z491" s="114"/>
      <c r="AA491" s="115" t="str">
        <f t="shared" si="6"/>
        <v/>
      </c>
      <c r="AB491" s="115">
        <f t="shared" si="7"/>
        <v>0</v>
      </c>
      <c r="AC491" s="115">
        <f t="shared" si="8"/>
        <v>0</v>
      </c>
      <c r="AD491" s="115">
        <f t="shared" si="9"/>
        <v>0</v>
      </c>
    </row>
    <row r="492">
      <c r="A492" s="101"/>
      <c r="B492" s="121"/>
      <c r="C492" s="122"/>
      <c r="D492" s="103" t="str">
        <f t="shared" si="1"/>
        <v/>
      </c>
      <c r="E492" s="103" t="str">
        <f t="shared" si="2"/>
        <v/>
      </c>
      <c r="F492" s="103" t="str">
        <f t="shared" si="3"/>
        <v/>
      </c>
      <c r="G492" s="122"/>
      <c r="H492" s="103">
        <f t="shared" si="4"/>
        <v>0</v>
      </c>
      <c r="I492" s="108">
        <f t="shared" si="5"/>
        <v>0</v>
      </c>
      <c r="J492" s="114"/>
      <c r="K492" s="83"/>
      <c r="L492" s="83"/>
      <c r="M492" s="83"/>
      <c r="N492" s="83"/>
      <c r="O492" s="83"/>
      <c r="P492" s="83"/>
      <c r="Q492" s="83"/>
      <c r="R492" s="83"/>
      <c r="S492" s="83"/>
      <c r="T492" s="83"/>
      <c r="U492" s="83"/>
      <c r="V492" s="83"/>
      <c r="W492" s="83"/>
      <c r="X492" s="83"/>
      <c r="Y492" s="83"/>
      <c r="Z492" s="114"/>
      <c r="AA492" s="115" t="str">
        <f t="shared" si="6"/>
        <v/>
      </c>
      <c r="AB492" s="115">
        <f t="shared" si="7"/>
        <v>0</v>
      </c>
      <c r="AC492" s="115">
        <f t="shared" si="8"/>
        <v>0</v>
      </c>
      <c r="AD492" s="115">
        <f t="shared" si="9"/>
        <v>0</v>
      </c>
    </row>
    <row r="493">
      <c r="A493" s="101"/>
      <c r="B493" s="121"/>
      <c r="C493" s="122"/>
      <c r="D493" s="103" t="str">
        <f t="shared" si="1"/>
        <v/>
      </c>
      <c r="E493" s="103" t="str">
        <f t="shared" si="2"/>
        <v/>
      </c>
      <c r="F493" s="103" t="str">
        <f t="shared" si="3"/>
        <v/>
      </c>
      <c r="G493" s="122"/>
      <c r="H493" s="103">
        <f t="shared" si="4"/>
        <v>0</v>
      </c>
      <c r="I493" s="108">
        <f t="shared" si="5"/>
        <v>0</v>
      </c>
      <c r="J493" s="114"/>
      <c r="K493" s="83"/>
      <c r="L493" s="83"/>
      <c r="M493" s="83"/>
      <c r="N493" s="83"/>
      <c r="O493" s="83"/>
      <c r="P493" s="83"/>
      <c r="Q493" s="83"/>
      <c r="R493" s="83"/>
      <c r="S493" s="83"/>
      <c r="T493" s="83"/>
      <c r="U493" s="83"/>
      <c r="V493" s="83"/>
      <c r="W493" s="83"/>
      <c r="X493" s="83"/>
      <c r="Y493" s="83"/>
      <c r="Z493" s="114"/>
      <c r="AA493" s="115" t="str">
        <f t="shared" si="6"/>
        <v/>
      </c>
      <c r="AB493" s="115">
        <f t="shared" si="7"/>
        <v>0</v>
      </c>
      <c r="AC493" s="115">
        <f t="shared" si="8"/>
        <v>0</v>
      </c>
      <c r="AD493" s="115">
        <f t="shared" si="9"/>
        <v>0</v>
      </c>
    </row>
    <row r="494">
      <c r="A494" s="101"/>
      <c r="B494" s="121"/>
      <c r="C494" s="122"/>
      <c r="D494" s="103" t="str">
        <f t="shared" si="1"/>
        <v/>
      </c>
      <c r="E494" s="103" t="str">
        <f t="shared" si="2"/>
        <v/>
      </c>
      <c r="F494" s="103" t="str">
        <f t="shared" si="3"/>
        <v/>
      </c>
      <c r="G494" s="122"/>
      <c r="H494" s="103">
        <f t="shared" si="4"/>
        <v>0</v>
      </c>
      <c r="I494" s="108">
        <f t="shared" si="5"/>
        <v>0</v>
      </c>
      <c r="J494" s="114"/>
      <c r="K494" s="83"/>
      <c r="L494" s="83"/>
      <c r="M494" s="83"/>
      <c r="N494" s="83"/>
      <c r="O494" s="83"/>
      <c r="P494" s="83"/>
      <c r="Q494" s="83"/>
      <c r="R494" s="83"/>
      <c r="S494" s="83"/>
      <c r="T494" s="83"/>
      <c r="U494" s="83"/>
      <c r="V494" s="83"/>
      <c r="W494" s="83"/>
      <c r="X494" s="83"/>
      <c r="Y494" s="83"/>
      <c r="Z494" s="114"/>
      <c r="AA494" s="115" t="str">
        <f t="shared" si="6"/>
        <v/>
      </c>
      <c r="AB494" s="115">
        <f t="shared" si="7"/>
        <v>0</v>
      </c>
      <c r="AC494" s="115">
        <f t="shared" si="8"/>
        <v>0</v>
      </c>
      <c r="AD494" s="115">
        <f t="shared" si="9"/>
        <v>0</v>
      </c>
    </row>
    <row r="495">
      <c r="A495" s="101"/>
      <c r="B495" s="121"/>
      <c r="C495" s="122"/>
      <c r="D495" s="103" t="str">
        <f t="shared" si="1"/>
        <v/>
      </c>
      <c r="E495" s="103" t="str">
        <f t="shared" si="2"/>
        <v/>
      </c>
      <c r="F495" s="103" t="str">
        <f t="shared" si="3"/>
        <v/>
      </c>
      <c r="G495" s="122"/>
      <c r="H495" s="103">
        <f t="shared" si="4"/>
        <v>0</v>
      </c>
      <c r="I495" s="108">
        <f t="shared" si="5"/>
        <v>0</v>
      </c>
      <c r="J495" s="114"/>
      <c r="K495" s="83"/>
      <c r="L495" s="83"/>
      <c r="M495" s="83"/>
      <c r="N495" s="83"/>
      <c r="O495" s="83"/>
      <c r="P495" s="83"/>
      <c r="Q495" s="83"/>
      <c r="R495" s="83"/>
      <c r="S495" s="83"/>
      <c r="T495" s="83"/>
      <c r="U495" s="83"/>
      <c r="V495" s="83"/>
      <c r="W495" s="83"/>
      <c r="X495" s="83"/>
      <c r="Y495" s="83"/>
      <c r="Z495" s="114"/>
      <c r="AA495" s="115" t="str">
        <f t="shared" si="6"/>
        <v/>
      </c>
      <c r="AB495" s="115">
        <f t="shared" si="7"/>
        <v>0</v>
      </c>
      <c r="AC495" s="115">
        <f t="shared" si="8"/>
        <v>0</v>
      </c>
      <c r="AD495" s="115">
        <f t="shared" si="9"/>
        <v>0</v>
      </c>
    </row>
    <row r="496">
      <c r="A496" s="101"/>
      <c r="B496" s="121"/>
      <c r="C496" s="122"/>
      <c r="D496" s="103" t="str">
        <f t="shared" si="1"/>
        <v/>
      </c>
      <c r="E496" s="103" t="str">
        <f t="shared" si="2"/>
        <v/>
      </c>
      <c r="F496" s="103" t="str">
        <f t="shared" si="3"/>
        <v/>
      </c>
      <c r="G496" s="122"/>
      <c r="H496" s="103">
        <f t="shared" si="4"/>
        <v>0</v>
      </c>
      <c r="I496" s="108">
        <f t="shared" si="5"/>
        <v>0</v>
      </c>
      <c r="J496" s="114"/>
      <c r="K496" s="83"/>
      <c r="L496" s="83"/>
      <c r="M496" s="83"/>
      <c r="N496" s="83"/>
      <c r="O496" s="83"/>
      <c r="P496" s="83"/>
      <c r="Q496" s="83"/>
      <c r="R496" s="83"/>
      <c r="S496" s="83"/>
      <c r="T496" s="83"/>
      <c r="U496" s="83"/>
      <c r="V496" s="83"/>
      <c r="W496" s="83"/>
      <c r="X496" s="83"/>
      <c r="Y496" s="83"/>
      <c r="Z496" s="114"/>
      <c r="AA496" s="115" t="str">
        <f t="shared" si="6"/>
        <v/>
      </c>
      <c r="AB496" s="115">
        <f t="shared" si="7"/>
        <v>0</v>
      </c>
      <c r="AC496" s="115">
        <f t="shared" si="8"/>
        <v>0</v>
      </c>
      <c r="AD496" s="115">
        <f t="shared" si="9"/>
        <v>0</v>
      </c>
    </row>
    <row r="497">
      <c r="A497" s="101"/>
      <c r="B497" s="121"/>
      <c r="C497" s="122"/>
      <c r="D497" s="103" t="str">
        <f t="shared" si="1"/>
        <v/>
      </c>
      <c r="E497" s="103" t="str">
        <f t="shared" si="2"/>
        <v/>
      </c>
      <c r="F497" s="103" t="str">
        <f t="shared" si="3"/>
        <v/>
      </c>
      <c r="G497" s="122"/>
      <c r="H497" s="103">
        <f t="shared" si="4"/>
        <v>0</v>
      </c>
      <c r="I497" s="108">
        <f t="shared" si="5"/>
        <v>0</v>
      </c>
      <c r="J497" s="114"/>
      <c r="K497" s="83"/>
      <c r="L497" s="83"/>
      <c r="M497" s="83"/>
      <c r="N497" s="83"/>
      <c r="O497" s="83"/>
      <c r="P497" s="83"/>
      <c r="Q497" s="83"/>
      <c r="R497" s="83"/>
      <c r="S497" s="83"/>
      <c r="T497" s="83"/>
      <c r="U497" s="83"/>
      <c r="V497" s="83"/>
      <c r="W497" s="83"/>
      <c r="X497" s="83"/>
      <c r="Y497" s="83"/>
      <c r="Z497" s="114"/>
      <c r="AA497" s="115" t="str">
        <f t="shared" si="6"/>
        <v/>
      </c>
      <c r="AB497" s="115">
        <f t="shared" si="7"/>
        <v>0</v>
      </c>
      <c r="AC497" s="115">
        <f t="shared" si="8"/>
        <v>0</v>
      </c>
      <c r="AD497" s="115">
        <f t="shared" si="9"/>
        <v>0</v>
      </c>
    </row>
    <row r="498">
      <c r="A498" s="101"/>
      <c r="B498" s="308"/>
      <c r="C498" s="309"/>
      <c r="D498" s="310" t="str">
        <f t="shared" si="1"/>
        <v/>
      </c>
      <c r="E498" s="310" t="str">
        <f t="shared" si="2"/>
        <v/>
      </c>
      <c r="F498" s="310" t="str">
        <f t="shared" si="3"/>
        <v/>
      </c>
      <c r="G498" s="309"/>
      <c r="H498" s="310">
        <f t="shared" si="4"/>
        <v>0</v>
      </c>
      <c r="I498" s="311">
        <f t="shared" si="5"/>
        <v>0</v>
      </c>
      <c r="J498" s="114"/>
      <c r="K498" s="83"/>
      <c r="L498" s="83"/>
      <c r="M498" s="83"/>
      <c r="N498" s="83"/>
      <c r="O498" s="83"/>
      <c r="P498" s="83"/>
      <c r="Q498" s="83"/>
      <c r="R498" s="83"/>
      <c r="S498" s="83"/>
      <c r="T498" s="83"/>
      <c r="U498" s="83"/>
      <c r="V498" s="83"/>
      <c r="W498" s="83"/>
      <c r="X498" s="83"/>
      <c r="Y498" s="83"/>
      <c r="Z498" s="83"/>
      <c r="AA498" s="115" t="str">
        <f t="shared" si="6"/>
        <v/>
      </c>
      <c r="AB498" s="115">
        <f t="shared" si="7"/>
        <v>0</v>
      </c>
      <c r="AC498" s="115">
        <f t="shared" si="8"/>
        <v>0</v>
      </c>
      <c r="AD498" s="115">
        <f t="shared" si="9"/>
        <v>0</v>
      </c>
    </row>
    <row r="499">
      <c r="A499" s="83"/>
      <c r="B499" s="157"/>
      <c r="C499" s="12"/>
      <c r="D499" s="157"/>
      <c r="E499" s="157"/>
      <c r="F499" s="157"/>
      <c r="G499" s="12"/>
      <c r="H499" s="312"/>
      <c r="I499" s="312"/>
      <c r="J499" s="83"/>
      <c r="K499" s="83"/>
      <c r="L499" s="83"/>
      <c r="M499" s="83"/>
      <c r="N499" s="83"/>
      <c r="O499" s="83"/>
      <c r="P499" s="83"/>
      <c r="Q499" s="83"/>
      <c r="R499" s="83"/>
      <c r="S499" s="83"/>
      <c r="T499" s="83"/>
      <c r="U499" s="83"/>
      <c r="V499" s="83"/>
      <c r="W499" s="83"/>
      <c r="X499" s="83"/>
      <c r="Y499" s="83"/>
      <c r="Z499" s="83"/>
      <c r="AA499" s="87"/>
      <c r="AB499" s="87"/>
      <c r="AC499" s="87"/>
      <c r="AD499" s="87"/>
    </row>
  </sheetData>
  <mergeCells count="9">
    <mergeCell ref="T18:X18"/>
    <mergeCell ref="L22:X28"/>
    <mergeCell ref="T8:X8"/>
    <mergeCell ref="T9:X9"/>
    <mergeCell ref="T11:X11"/>
    <mergeCell ref="T12:X12"/>
    <mergeCell ref="T14:X14"/>
    <mergeCell ref="T15:X15"/>
    <mergeCell ref="T17:X17"/>
  </mergeCells>
  <conditionalFormatting sqref="T17:X17">
    <cfRule type="cellIs" dxfId="0" priority="1" operator="lessThan">
      <formula>0</formula>
    </cfRule>
  </conditionalFormatting>
  <conditionalFormatting sqref="T18:X18">
    <cfRule type="cellIs" dxfId="0" priority="2" operator="lessThan">
      <formula>0</formula>
    </cfRule>
  </conditionalFormatting>
  <conditionalFormatting sqref="T18:X18">
    <cfRule type="cellIs" dxfId="1" priority="3" operator="greaterThan">
      <formula>0</formula>
    </cfRule>
  </conditionalFormatting>
  <conditionalFormatting sqref="T17:X17">
    <cfRule type="cellIs" dxfId="1" priority="4" operator="greaterThan">
      <formula>0</formula>
    </cfRule>
  </conditionalFormatting>
  <dataValidations>
    <dataValidation type="list" allowBlank="1" showErrorMessage="1" sqref="C5:C498">
      <formula1>"Fixed Markup,Markup %,Margin %,Manual"</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4" width="3.25"/>
  </cols>
  <sheetData>
    <row r="1" ht="6.0" customHeight="1">
      <c r="A1" s="160"/>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4"/>
    </row>
    <row r="2">
      <c r="A2" s="157"/>
      <c r="B2" s="161"/>
      <c r="C2" s="161"/>
      <c r="D2" s="161"/>
      <c r="E2" s="161"/>
      <c r="F2" s="161"/>
      <c r="G2" s="161"/>
      <c r="H2" s="161"/>
      <c r="I2" s="161"/>
      <c r="J2" s="157"/>
      <c r="K2" s="162"/>
      <c r="L2" s="162"/>
      <c r="M2" s="162"/>
      <c r="N2" s="162"/>
      <c r="O2" s="162"/>
      <c r="P2" s="162"/>
      <c r="Q2" s="162"/>
      <c r="R2" s="162"/>
      <c r="S2" s="162"/>
      <c r="T2" s="162"/>
      <c r="U2" s="162"/>
      <c r="V2" s="162"/>
      <c r="W2" s="162"/>
      <c r="X2" s="162"/>
      <c r="Y2" s="162"/>
      <c r="Z2" s="157"/>
      <c r="AA2" s="161"/>
      <c r="AB2" s="161"/>
      <c r="AC2" s="161"/>
      <c r="AD2" s="161"/>
      <c r="AE2" s="161"/>
      <c r="AF2" s="161"/>
      <c r="AG2" s="161"/>
      <c r="AH2" s="161"/>
      <c r="AI2" s="161"/>
      <c r="AJ2" s="157"/>
      <c r="AK2" s="157"/>
      <c r="AL2" s="157"/>
      <c r="AM2" s="157"/>
      <c r="AN2" s="157"/>
      <c r="AO2" s="157"/>
      <c r="AP2" s="157"/>
      <c r="AQ2" s="157"/>
      <c r="AR2" s="157"/>
      <c r="AS2" s="157"/>
      <c r="AT2" s="157"/>
      <c r="AU2" s="157"/>
      <c r="AV2" s="157"/>
      <c r="AW2" s="157"/>
      <c r="AX2" s="157"/>
      <c r="AY2" s="157"/>
      <c r="AZ2" s="157"/>
      <c r="BA2" s="157"/>
      <c r="BB2" s="157"/>
    </row>
    <row r="3">
      <c r="A3" s="101"/>
      <c r="B3" s="163" t="s">
        <v>74</v>
      </c>
      <c r="C3" s="164"/>
      <c r="D3" s="164"/>
      <c r="E3" s="164"/>
      <c r="F3" s="164"/>
      <c r="G3" s="164"/>
      <c r="H3" s="164"/>
      <c r="I3" s="165"/>
      <c r="J3" s="109"/>
      <c r="K3" s="166"/>
      <c r="L3" s="167"/>
      <c r="M3" s="167"/>
      <c r="N3" s="167"/>
      <c r="O3" s="167"/>
      <c r="P3" s="167"/>
      <c r="Q3" s="167"/>
      <c r="R3" s="168" t="s">
        <v>75</v>
      </c>
      <c r="S3" s="169"/>
      <c r="T3" s="170"/>
      <c r="U3" s="171"/>
      <c r="V3" s="168" t="s">
        <v>76</v>
      </c>
      <c r="W3" s="169"/>
      <c r="X3" s="170"/>
      <c r="Y3" s="172"/>
      <c r="Z3" s="173"/>
      <c r="AA3" s="174" t="s">
        <v>77</v>
      </c>
      <c r="AB3" s="175"/>
      <c r="AC3" s="175"/>
      <c r="AD3" s="175"/>
      <c r="AE3" s="175"/>
      <c r="AF3" s="175"/>
      <c r="AG3" s="175"/>
      <c r="AH3" s="175"/>
      <c r="AI3" s="176"/>
      <c r="AJ3" s="177"/>
      <c r="AK3" s="178"/>
      <c r="AL3" s="178"/>
      <c r="AM3" s="178"/>
      <c r="AN3" s="178"/>
      <c r="AO3" s="83"/>
      <c r="AP3" s="83"/>
      <c r="AQ3" s="83"/>
      <c r="AR3" s="159"/>
      <c r="AS3" s="83"/>
      <c r="AT3" s="83"/>
      <c r="AU3" s="83"/>
      <c r="AV3" s="83"/>
      <c r="AW3" s="83"/>
      <c r="AX3" s="83"/>
      <c r="AY3" s="83"/>
      <c r="AZ3" s="159"/>
      <c r="BA3" s="83"/>
      <c r="BB3" s="83"/>
    </row>
    <row r="4">
      <c r="A4" s="101"/>
      <c r="B4" s="179"/>
      <c r="C4" s="154"/>
      <c r="D4" s="154"/>
      <c r="E4" s="154"/>
      <c r="F4" s="154"/>
      <c r="G4" s="154"/>
      <c r="H4" s="154"/>
      <c r="I4" s="180"/>
      <c r="J4" s="109"/>
      <c r="K4" s="181"/>
      <c r="L4" s="182"/>
      <c r="M4" s="140"/>
      <c r="N4" s="140"/>
      <c r="O4" s="140"/>
      <c r="P4" s="140"/>
      <c r="Q4" s="140"/>
      <c r="R4" s="182"/>
      <c r="S4" s="140"/>
      <c r="T4" s="140"/>
      <c r="U4" s="140"/>
      <c r="V4" s="140"/>
      <c r="W4" s="140"/>
      <c r="X4" s="140"/>
      <c r="Y4" s="183"/>
      <c r="Z4" s="109"/>
      <c r="AA4" s="184"/>
      <c r="AB4" s="185"/>
      <c r="AC4" s="185"/>
      <c r="AD4" s="185"/>
      <c r="AE4" s="185"/>
      <c r="AF4" s="185"/>
      <c r="AG4" s="185"/>
      <c r="AH4" s="185"/>
      <c r="AI4" s="186"/>
      <c r="AJ4" s="114"/>
      <c r="AK4" s="83"/>
      <c r="AL4" s="83"/>
      <c r="AM4" s="83"/>
      <c r="AN4" s="83"/>
      <c r="AO4" s="83"/>
      <c r="AP4" s="83"/>
      <c r="AQ4" s="83"/>
      <c r="AR4" s="83"/>
      <c r="AS4" s="83"/>
      <c r="AT4" s="83"/>
      <c r="AU4" s="83"/>
      <c r="AV4" s="83"/>
      <c r="AW4" s="83"/>
      <c r="AX4" s="83"/>
      <c r="AY4" s="83"/>
      <c r="AZ4" s="83"/>
      <c r="BA4" s="83"/>
      <c r="BB4" s="83"/>
    </row>
    <row r="5">
      <c r="A5" s="101"/>
      <c r="B5" s="187"/>
      <c r="C5" s="188"/>
      <c r="D5" s="188"/>
      <c r="E5" s="188"/>
      <c r="F5" s="188"/>
      <c r="G5" s="188"/>
      <c r="H5" s="188"/>
      <c r="I5" s="189"/>
      <c r="J5" s="109"/>
      <c r="K5" s="190"/>
      <c r="L5" s="133" t="s">
        <v>78</v>
      </c>
      <c r="M5" s="134"/>
      <c r="N5" s="134"/>
      <c r="O5" s="134"/>
      <c r="P5" s="134"/>
      <c r="Q5" s="134"/>
      <c r="R5" s="191">
        <f>IF(AG5, IF($G$20&gt;1, SUM($Q$27:$T$292), "")/(1-AG6),IF($G$20&gt;1, SUM($Q$27:$T$292), ""))</f>
        <v>0</v>
      </c>
      <c r="S5" s="125"/>
      <c r="T5" s="126"/>
      <c r="U5" s="134"/>
      <c r="V5" s="192">
        <f>IF(AG5, (SUM(Q27:T292)/$G$20)/(1-AG6),SUM(Q27:T292)/$G$20)</f>
        <v>0</v>
      </c>
      <c r="W5" s="125"/>
      <c r="X5" s="126"/>
      <c r="Y5" s="193"/>
      <c r="Z5" s="109"/>
      <c r="AA5" s="194"/>
      <c r="AB5" s="195" t="s">
        <v>79</v>
      </c>
      <c r="AC5" s="125"/>
      <c r="AD5" s="125"/>
      <c r="AE5" s="125"/>
      <c r="AF5" s="126"/>
      <c r="AG5" s="196" t="b">
        <v>1</v>
      </c>
      <c r="AH5" s="126"/>
      <c r="AI5" s="197"/>
      <c r="AJ5" s="114"/>
      <c r="AK5" s="83"/>
      <c r="AL5" s="83"/>
      <c r="AM5" s="83"/>
      <c r="AN5" s="83"/>
      <c r="AO5" s="83"/>
      <c r="AP5" s="83"/>
      <c r="AQ5" s="83"/>
      <c r="AR5" s="83"/>
      <c r="AS5" s="83"/>
      <c r="AT5" s="83"/>
      <c r="AU5" s="83"/>
      <c r="AV5" s="83"/>
      <c r="AW5" s="83"/>
      <c r="AX5" s="83"/>
      <c r="AY5" s="83"/>
      <c r="AZ5" s="83"/>
      <c r="BA5" s="83"/>
      <c r="BB5" s="83"/>
    </row>
    <row r="6">
      <c r="A6" s="101"/>
      <c r="B6" s="198"/>
      <c r="I6" s="199"/>
      <c r="J6" s="109"/>
      <c r="K6" s="200"/>
      <c r="L6" s="201" t="s">
        <v>80</v>
      </c>
      <c r="M6" s="202"/>
      <c r="N6" s="202"/>
      <c r="O6" s="202"/>
      <c r="P6" s="202"/>
      <c r="Q6" s="202"/>
      <c r="R6" s="203">
        <f>IF(AG5, IF($G$20&gt;1, SUM(AL27:AO292), "")/(1-AG6),IF($G$20&gt;1, SUM(AL27:AO292), ""))</f>
        <v>0</v>
      </c>
      <c r="S6" s="148"/>
      <c r="T6" s="149"/>
      <c r="U6" s="202"/>
      <c r="V6" s="204">
        <f>IF(AG5,(SUM(AL27:AO292)/$G$20)/(1-AG6),SUM(AL27:AO292)/$G$20)</f>
        <v>0</v>
      </c>
      <c r="W6" s="148"/>
      <c r="X6" s="149"/>
      <c r="Y6" s="193"/>
      <c r="Z6" s="109"/>
      <c r="AA6" s="116"/>
      <c r="AB6" s="123" t="s">
        <v>81</v>
      </c>
      <c r="AC6" s="118"/>
      <c r="AD6" s="118"/>
      <c r="AE6" s="118"/>
      <c r="AF6" s="118"/>
      <c r="AG6" s="205">
        <v>0.05</v>
      </c>
      <c r="AH6" s="126"/>
      <c r="AI6" s="197"/>
      <c r="AJ6" s="114"/>
      <c r="AK6" s="83"/>
      <c r="AL6" s="83"/>
      <c r="AM6" s="83"/>
      <c r="AN6" s="83"/>
      <c r="AO6" s="83"/>
      <c r="AP6" s="83"/>
      <c r="AQ6" s="83"/>
      <c r="AR6" s="83"/>
      <c r="AS6" s="83"/>
      <c r="AT6" s="83"/>
      <c r="AU6" s="83"/>
      <c r="AV6" s="83"/>
      <c r="AW6" s="83"/>
      <c r="AX6" s="83"/>
      <c r="AY6" s="83"/>
      <c r="AZ6" s="83"/>
      <c r="BA6" s="83"/>
      <c r="BB6" s="83"/>
    </row>
    <row r="7">
      <c r="A7" s="101"/>
      <c r="B7" s="198"/>
      <c r="I7" s="199"/>
      <c r="J7" s="109"/>
      <c r="K7" s="206"/>
      <c r="L7" s="117" t="s">
        <v>82</v>
      </c>
      <c r="M7" s="142"/>
      <c r="N7" s="142"/>
      <c r="O7" s="142"/>
      <c r="P7" s="142"/>
      <c r="Q7" s="142"/>
      <c r="R7" s="207">
        <f>R5+R6</f>
        <v>0</v>
      </c>
      <c r="S7" s="125"/>
      <c r="T7" s="126"/>
      <c r="U7" s="118"/>
      <c r="V7" s="208">
        <f>V5+V6</f>
        <v>0</v>
      </c>
      <c r="W7" s="125"/>
      <c r="X7" s="126"/>
      <c r="Y7" s="209"/>
      <c r="Z7" s="109"/>
      <c r="AA7" s="116"/>
      <c r="AB7" s="118"/>
      <c r="AC7" s="118"/>
      <c r="AD7" s="118"/>
      <c r="AE7" s="118"/>
      <c r="AF7" s="118"/>
      <c r="AG7" s="118"/>
      <c r="AH7" s="118"/>
      <c r="AI7" s="119"/>
      <c r="AJ7" s="114"/>
      <c r="AK7" s="83"/>
      <c r="AL7" s="83"/>
      <c r="AM7" s="83"/>
      <c r="AN7" s="83"/>
      <c r="AO7" s="83"/>
      <c r="AP7" s="83"/>
      <c r="AQ7" s="83"/>
      <c r="AR7" s="83"/>
      <c r="AS7" s="83"/>
      <c r="AT7" s="83"/>
      <c r="AU7" s="83"/>
      <c r="AV7" s="83"/>
      <c r="AW7" s="83"/>
      <c r="AX7" s="83"/>
      <c r="AY7" s="83"/>
      <c r="AZ7" s="83"/>
      <c r="BA7" s="83"/>
      <c r="BB7" s="83"/>
    </row>
    <row r="8">
      <c r="A8" s="101"/>
      <c r="B8" s="198"/>
      <c r="I8" s="199"/>
      <c r="J8" s="109"/>
      <c r="K8" s="210"/>
      <c r="L8" s="211"/>
      <c r="M8" s="211"/>
      <c r="N8" s="211"/>
      <c r="O8" s="211"/>
      <c r="P8" s="211"/>
      <c r="Q8" s="211"/>
      <c r="R8" s="211"/>
      <c r="S8" s="211"/>
      <c r="T8" s="211"/>
      <c r="U8" s="211"/>
      <c r="V8" s="211"/>
      <c r="W8" s="211"/>
      <c r="X8" s="211"/>
      <c r="Y8" s="212"/>
      <c r="Z8" s="109"/>
      <c r="AA8" s="152"/>
      <c r="AB8" s="138"/>
      <c r="AC8" s="138"/>
      <c r="AD8" s="138"/>
      <c r="AE8" s="138"/>
      <c r="AF8" s="138"/>
      <c r="AG8" s="138"/>
      <c r="AH8" s="138"/>
      <c r="AI8" s="156"/>
      <c r="AJ8" s="114"/>
      <c r="AK8" s="83"/>
      <c r="AL8" s="83"/>
      <c r="AM8" s="83"/>
      <c r="AN8" s="83"/>
      <c r="AO8" s="83"/>
      <c r="AP8" s="83"/>
      <c r="AQ8" s="83"/>
      <c r="AR8" s="83"/>
      <c r="AS8" s="83"/>
      <c r="AT8" s="83"/>
      <c r="AU8" s="83"/>
      <c r="AV8" s="83"/>
      <c r="AW8" s="83"/>
      <c r="AX8" s="83"/>
      <c r="AY8" s="83"/>
      <c r="AZ8" s="83"/>
      <c r="BA8" s="83"/>
      <c r="BB8" s="83"/>
    </row>
    <row r="9">
      <c r="A9" s="101"/>
      <c r="B9" s="198"/>
      <c r="I9" s="199"/>
      <c r="J9" s="114"/>
      <c r="K9" s="213"/>
      <c r="L9" s="161"/>
      <c r="M9" s="161"/>
      <c r="N9" s="161"/>
      <c r="O9" s="161"/>
      <c r="P9" s="161"/>
      <c r="Q9" s="161"/>
      <c r="R9" s="161"/>
      <c r="S9" s="161"/>
      <c r="T9" s="161"/>
      <c r="U9" s="157"/>
      <c r="V9" s="214"/>
      <c r="W9" s="214"/>
      <c r="X9" s="214"/>
      <c r="Y9" s="214"/>
      <c r="Z9" s="215"/>
      <c r="AA9" s="214"/>
      <c r="AB9" s="214"/>
      <c r="AC9" s="214"/>
      <c r="AD9" s="214"/>
      <c r="AE9" s="214"/>
      <c r="AF9" s="157"/>
      <c r="AG9" s="214"/>
      <c r="AH9" s="214"/>
      <c r="AI9" s="214"/>
      <c r="AJ9" s="215"/>
      <c r="AK9" s="215"/>
      <c r="AL9" s="215"/>
      <c r="AM9" s="215"/>
      <c r="AN9" s="215"/>
      <c r="AO9" s="215"/>
      <c r="AP9" s="215"/>
      <c r="AQ9" s="83"/>
      <c r="AR9" s="88"/>
      <c r="AS9" s="88"/>
      <c r="AT9" s="88"/>
      <c r="AU9" s="88"/>
      <c r="AV9" s="88"/>
      <c r="AW9" s="88"/>
      <c r="AX9" s="88"/>
      <c r="AY9" s="88"/>
      <c r="AZ9" s="88"/>
      <c r="BA9" s="88"/>
      <c r="BB9" s="83"/>
    </row>
    <row r="10">
      <c r="A10" s="101"/>
      <c r="B10" s="198"/>
      <c r="I10" s="199"/>
      <c r="J10" s="109"/>
      <c r="K10" s="216"/>
      <c r="L10" s="217"/>
      <c r="M10" s="217"/>
      <c r="N10" s="217"/>
      <c r="O10" s="217"/>
      <c r="P10" s="217"/>
      <c r="Q10" s="218"/>
      <c r="R10" s="218"/>
      <c r="S10" s="218"/>
      <c r="T10" s="219"/>
      <c r="U10" s="220"/>
      <c r="V10" s="216"/>
      <c r="W10" s="217"/>
      <c r="X10" s="217"/>
      <c r="Y10" s="217"/>
      <c r="Z10" s="217"/>
      <c r="AA10" s="217"/>
      <c r="AB10" s="218"/>
      <c r="AC10" s="218"/>
      <c r="AD10" s="218"/>
      <c r="AE10" s="219"/>
      <c r="AF10" s="221"/>
      <c r="AG10" s="216"/>
      <c r="AH10" s="217"/>
      <c r="AI10" s="217"/>
      <c r="AJ10" s="217"/>
      <c r="AK10" s="217"/>
      <c r="AL10" s="217"/>
      <c r="AM10" s="218"/>
      <c r="AN10" s="218"/>
      <c r="AO10" s="218"/>
      <c r="AP10" s="219"/>
      <c r="AQ10" s="109"/>
      <c r="AR10" s="216"/>
      <c r="AS10" s="218"/>
      <c r="AT10" s="218"/>
      <c r="AU10" s="218"/>
      <c r="AV10" s="218"/>
      <c r="AW10" s="218"/>
      <c r="AX10" s="218"/>
      <c r="AY10" s="218"/>
      <c r="AZ10" s="218"/>
      <c r="BA10" s="219"/>
      <c r="BB10" s="114"/>
    </row>
    <row r="11">
      <c r="A11" s="101"/>
      <c r="B11" s="198"/>
      <c r="I11" s="199"/>
      <c r="J11" s="109"/>
      <c r="K11" s="200"/>
      <c r="L11" s="222" t="s">
        <v>83</v>
      </c>
      <c r="M11" s="223"/>
      <c r="N11" s="224"/>
      <c r="O11" s="225"/>
      <c r="P11" s="226"/>
      <c r="Q11" s="227"/>
      <c r="R11" s="125"/>
      <c r="S11" s="126"/>
      <c r="T11" s="209"/>
      <c r="U11" s="228"/>
      <c r="V11" s="200"/>
      <c r="W11" s="222" t="s">
        <v>84</v>
      </c>
      <c r="X11" s="223"/>
      <c r="Y11" s="224"/>
      <c r="Z11" s="225"/>
      <c r="AA11" s="226"/>
      <c r="AB11" s="229"/>
      <c r="AC11" s="125"/>
      <c r="AD11" s="126"/>
      <c r="AE11" s="209"/>
      <c r="AF11" s="221"/>
      <c r="AG11" s="200"/>
      <c r="AH11" s="222" t="s">
        <v>85</v>
      </c>
      <c r="AI11" s="223"/>
      <c r="AJ11" s="224"/>
      <c r="AK11" s="225"/>
      <c r="AL11" s="226"/>
      <c r="AM11" s="229"/>
      <c r="AN11" s="125"/>
      <c r="AO11" s="126"/>
      <c r="AP11" s="209"/>
      <c r="AQ11" s="109"/>
      <c r="AR11" s="206"/>
      <c r="AS11" s="230" t="s">
        <v>86</v>
      </c>
      <c r="AT11" s="231"/>
      <c r="AU11" s="230"/>
      <c r="AV11" s="230"/>
      <c r="AW11" s="232"/>
      <c r="AX11" s="233"/>
      <c r="AY11" s="234"/>
      <c r="AZ11" s="235"/>
      <c r="BA11" s="209"/>
      <c r="BB11" s="114"/>
    </row>
    <row r="12">
      <c r="A12" s="101"/>
      <c r="B12" s="198"/>
      <c r="I12" s="199"/>
      <c r="J12" s="109"/>
      <c r="K12" s="200"/>
      <c r="L12" s="133"/>
      <c r="M12" s="134"/>
      <c r="N12" s="134"/>
      <c r="O12" s="134"/>
      <c r="P12" s="134"/>
      <c r="Q12" s="140"/>
      <c r="R12" s="182"/>
      <c r="S12" s="140"/>
      <c r="T12" s="193"/>
      <c r="U12" s="228"/>
      <c r="V12" s="200"/>
      <c r="W12" s="133"/>
      <c r="X12" s="134"/>
      <c r="Y12" s="134"/>
      <c r="Z12" s="134"/>
      <c r="AA12" s="134"/>
      <c r="AB12" s="140"/>
      <c r="AC12" s="182"/>
      <c r="AD12" s="140"/>
      <c r="AE12" s="193"/>
      <c r="AF12" s="221"/>
      <c r="AG12" s="200"/>
      <c r="AH12" s="133"/>
      <c r="AI12" s="134"/>
      <c r="AJ12" s="134"/>
      <c r="AK12" s="134"/>
      <c r="AL12" s="134"/>
      <c r="AM12" s="140"/>
      <c r="AN12" s="182"/>
      <c r="AO12" s="140"/>
      <c r="AP12" s="193"/>
      <c r="AQ12" s="109"/>
      <c r="AR12" s="200"/>
      <c r="AS12" s="182"/>
      <c r="AT12" s="140"/>
      <c r="AU12" s="140"/>
      <c r="AV12" s="140"/>
      <c r="AW12" s="140"/>
      <c r="AX12" s="140"/>
      <c r="AY12" s="182"/>
      <c r="AZ12" s="140"/>
      <c r="BA12" s="193"/>
      <c r="BB12" s="114"/>
    </row>
    <row r="13">
      <c r="A13" s="101"/>
      <c r="B13" s="198"/>
      <c r="I13" s="199"/>
      <c r="J13" s="109"/>
      <c r="K13" s="200"/>
      <c r="L13" s="133" t="s">
        <v>87</v>
      </c>
      <c r="M13" s="134"/>
      <c r="N13" s="134"/>
      <c r="O13" s="134"/>
      <c r="P13" s="134"/>
      <c r="Q13" s="236">
        <f>$V$7+Q11</f>
        <v>0</v>
      </c>
      <c r="R13" s="125"/>
      <c r="S13" s="126"/>
      <c r="T13" s="193"/>
      <c r="U13" s="228"/>
      <c r="V13" s="200"/>
      <c r="W13" s="133" t="s">
        <v>87</v>
      </c>
      <c r="X13" s="134"/>
      <c r="Y13" s="134"/>
      <c r="Z13" s="134"/>
      <c r="AA13" s="134"/>
      <c r="AB13" s="236">
        <f>$V$7*(1+AB11)</f>
        <v>0</v>
      </c>
      <c r="AC13" s="125"/>
      <c r="AD13" s="126"/>
      <c r="AE13" s="193"/>
      <c r="AF13" s="221"/>
      <c r="AG13" s="200"/>
      <c r="AH13" s="133" t="s">
        <v>87</v>
      </c>
      <c r="AI13" s="134"/>
      <c r="AJ13" s="134"/>
      <c r="AK13" s="134"/>
      <c r="AL13" s="134"/>
      <c r="AM13" s="236">
        <f>$V$7/(1-AM11)</f>
        <v>0</v>
      </c>
      <c r="AN13" s="125"/>
      <c r="AO13" s="126"/>
      <c r="AP13" s="193"/>
      <c r="AQ13" s="109"/>
      <c r="AR13" s="200"/>
      <c r="AS13" s="133" t="s">
        <v>87</v>
      </c>
      <c r="AT13" s="134"/>
      <c r="AU13" s="134"/>
      <c r="AV13" s="134"/>
      <c r="AW13" s="134"/>
      <c r="AX13" s="191">
        <f>IF(G18,AX11/(1+G19),AX11)</f>
        <v>0</v>
      </c>
      <c r="AY13" s="125"/>
      <c r="AZ13" s="126"/>
      <c r="BA13" s="193"/>
      <c r="BB13" s="114"/>
    </row>
    <row r="14">
      <c r="A14" s="101"/>
      <c r="B14" s="237"/>
      <c r="C14" s="154"/>
      <c r="D14" s="154"/>
      <c r="E14" s="154"/>
      <c r="F14" s="154"/>
      <c r="G14" s="154"/>
      <c r="H14" s="154"/>
      <c r="I14" s="180"/>
      <c r="J14" s="109"/>
      <c r="K14" s="200"/>
      <c r="L14" s="133" t="s">
        <v>88</v>
      </c>
      <c r="M14" s="134"/>
      <c r="N14" s="134"/>
      <c r="O14" s="134"/>
      <c r="P14" s="134"/>
      <c r="Q14" s="192">
        <f>IF($G$18,Q13*$G$19,0)</f>
        <v>0</v>
      </c>
      <c r="R14" s="125"/>
      <c r="S14" s="126"/>
      <c r="T14" s="193"/>
      <c r="U14" s="228"/>
      <c r="V14" s="200"/>
      <c r="W14" s="133" t="s">
        <v>88</v>
      </c>
      <c r="X14" s="134"/>
      <c r="Y14" s="134"/>
      <c r="Z14" s="134"/>
      <c r="AA14" s="134"/>
      <c r="AB14" s="192">
        <f>IF($G$18,AB13*$G$19,0)</f>
        <v>0</v>
      </c>
      <c r="AC14" s="125"/>
      <c r="AD14" s="126"/>
      <c r="AE14" s="193"/>
      <c r="AF14" s="221"/>
      <c r="AG14" s="200"/>
      <c r="AH14" s="133" t="s">
        <v>88</v>
      </c>
      <c r="AI14" s="134"/>
      <c r="AJ14" s="134"/>
      <c r="AK14" s="134"/>
      <c r="AL14" s="134"/>
      <c r="AM14" s="192">
        <f>IF($G$18,AM13*$G$19,0)</f>
        <v>0</v>
      </c>
      <c r="AN14" s="125"/>
      <c r="AO14" s="126"/>
      <c r="AP14" s="193"/>
      <c r="AQ14" s="109"/>
      <c r="AR14" s="200"/>
      <c r="AS14" s="133" t="s">
        <v>88</v>
      </c>
      <c r="AT14" s="134"/>
      <c r="AU14" s="134"/>
      <c r="AV14" s="134"/>
      <c r="AW14" s="134"/>
      <c r="AX14" s="238">
        <f>AX11-AX13</f>
        <v>0</v>
      </c>
      <c r="AY14" s="125"/>
      <c r="AZ14" s="126"/>
      <c r="BA14" s="193"/>
      <c r="BB14" s="114"/>
    </row>
    <row r="15">
      <c r="A15" s="83"/>
      <c r="B15" s="161"/>
      <c r="C15" s="161"/>
      <c r="D15" s="161"/>
      <c r="E15" s="161"/>
      <c r="F15" s="161"/>
      <c r="G15" s="161"/>
      <c r="H15" s="161"/>
      <c r="I15" s="161"/>
      <c r="J15" s="101"/>
      <c r="K15" s="200"/>
      <c r="L15" s="201"/>
      <c r="M15" s="202"/>
      <c r="N15" s="201"/>
      <c r="O15" s="202"/>
      <c r="P15" s="202"/>
      <c r="Q15" s="202"/>
      <c r="R15" s="202"/>
      <c r="S15" s="202"/>
      <c r="T15" s="193"/>
      <c r="U15" s="228"/>
      <c r="V15" s="200"/>
      <c r="W15" s="201"/>
      <c r="X15" s="202"/>
      <c r="Y15" s="201"/>
      <c r="Z15" s="202"/>
      <c r="AA15" s="202"/>
      <c r="AB15" s="202"/>
      <c r="AC15" s="202"/>
      <c r="AD15" s="202"/>
      <c r="AE15" s="193"/>
      <c r="AF15" s="221"/>
      <c r="AG15" s="200"/>
      <c r="AH15" s="201"/>
      <c r="AI15" s="202"/>
      <c r="AJ15" s="201"/>
      <c r="AK15" s="202"/>
      <c r="AL15" s="202"/>
      <c r="AM15" s="202"/>
      <c r="AN15" s="202"/>
      <c r="AO15" s="202"/>
      <c r="AP15" s="193"/>
      <c r="AQ15" s="109"/>
      <c r="AR15" s="200"/>
      <c r="AS15" s="133" t="s">
        <v>89</v>
      </c>
      <c r="AT15" s="134"/>
      <c r="AU15" s="133"/>
      <c r="AV15" s="134"/>
      <c r="AW15" s="134"/>
      <c r="AX15" s="192">
        <f>V7</f>
        <v>0</v>
      </c>
      <c r="AY15" s="125"/>
      <c r="AZ15" s="126"/>
      <c r="BA15" s="193"/>
      <c r="BB15" s="114"/>
    </row>
    <row r="16">
      <c r="A16" s="101"/>
      <c r="B16" s="163" t="s">
        <v>90</v>
      </c>
      <c r="C16" s="164"/>
      <c r="D16" s="164"/>
      <c r="E16" s="164"/>
      <c r="F16" s="164"/>
      <c r="G16" s="164"/>
      <c r="H16" s="164"/>
      <c r="I16" s="165"/>
      <c r="J16" s="109"/>
      <c r="K16" s="206"/>
      <c r="L16" s="239" t="s">
        <v>86</v>
      </c>
      <c r="M16" s="240"/>
      <c r="N16" s="241"/>
      <c r="O16" s="240"/>
      <c r="P16" s="240"/>
      <c r="Q16" s="242">
        <f>Q13+Q14</f>
        <v>0</v>
      </c>
      <c r="R16" s="234"/>
      <c r="S16" s="235"/>
      <c r="T16" s="209"/>
      <c r="U16" s="228"/>
      <c r="V16" s="206"/>
      <c r="W16" s="239" t="s">
        <v>86</v>
      </c>
      <c r="X16" s="240"/>
      <c r="Y16" s="241"/>
      <c r="Z16" s="240"/>
      <c r="AA16" s="240"/>
      <c r="AB16" s="242">
        <f>AB13+AB14</f>
        <v>0</v>
      </c>
      <c r="AC16" s="234"/>
      <c r="AD16" s="235"/>
      <c r="AE16" s="209"/>
      <c r="AF16" s="221"/>
      <c r="AG16" s="206"/>
      <c r="AH16" s="239" t="s">
        <v>86</v>
      </c>
      <c r="AI16" s="240"/>
      <c r="AJ16" s="241"/>
      <c r="AK16" s="240"/>
      <c r="AL16" s="240"/>
      <c r="AM16" s="242">
        <f>AM13+AM14</f>
        <v>0</v>
      </c>
      <c r="AN16" s="234"/>
      <c r="AO16" s="235"/>
      <c r="AP16" s="209"/>
      <c r="AQ16" s="109"/>
      <c r="AR16" s="200"/>
      <c r="AS16" s="134"/>
      <c r="AT16" s="243" t="s">
        <v>91</v>
      </c>
      <c r="AU16" s="134"/>
      <c r="AV16" s="134"/>
      <c r="AW16" s="244">
        <f>AX13-AX15</f>
        <v>0</v>
      </c>
      <c r="AX16" s="125"/>
      <c r="AY16" s="126"/>
      <c r="AZ16" s="134"/>
      <c r="BA16" s="193"/>
      <c r="BB16" s="114"/>
    </row>
    <row r="17">
      <c r="A17" s="101"/>
      <c r="B17" s="181"/>
      <c r="C17" s="182"/>
      <c r="D17" s="140"/>
      <c r="E17" s="140"/>
      <c r="F17" s="140"/>
      <c r="G17" s="245"/>
      <c r="H17" s="246"/>
      <c r="I17" s="183"/>
      <c r="J17" s="109"/>
      <c r="K17" s="200"/>
      <c r="L17" s="247"/>
      <c r="M17" s="247" t="s">
        <v>91</v>
      </c>
      <c r="N17" s="248"/>
      <c r="O17" s="248"/>
      <c r="P17" s="249">
        <f>Q13-V7</f>
        <v>0</v>
      </c>
      <c r="Q17" s="250"/>
      <c r="R17" s="251"/>
      <c r="S17" s="252"/>
      <c r="T17" s="193"/>
      <c r="U17" s="228"/>
      <c r="V17" s="200"/>
      <c r="W17" s="247"/>
      <c r="X17" s="247" t="s">
        <v>91</v>
      </c>
      <c r="Y17" s="248"/>
      <c r="Z17" s="248"/>
      <c r="AA17" s="249">
        <f>AB13-V7</f>
        <v>0</v>
      </c>
      <c r="AB17" s="250"/>
      <c r="AC17" s="251"/>
      <c r="AD17" s="252"/>
      <c r="AE17" s="193"/>
      <c r="AF17" s="221"/>
      <c r="AG17" s="200"/>
      <c r="AH17" s="247"/>
      <c r="AI17" s="247" t="s">
        <v>91</v>
      </c>
      <c r="AJ17" s="248"/>
      <c r="AK17" s="248"/>
      <c r="AL17" s="249">
        <f>AM13-V7</f>
        <v>0</v>
      </c>
      <c r="AM17" s="250"/>
      <c r="AN17" s="251"/>
      <c r="AO17" s="252"/>
      <c r="AP17" s="193"/>
      <c r="AQ17" s="109"/>
      <c r="AR17" s="116"/>
      <c r="AS17" s="253"/>
      <c r="AT17" s="254"/>
      <c r="AU17" s="253"/>
      <c r="AV17" s="253"/>
      <c r="AW17" s="253"/>
      <c r="AX17" s="253"/>
      <c r="AY17" s="253"/>
      <c r="AZ17" s="253"/>
      <c r="BA17" s="119"/>
      <c r="BB17" s="114"/>
    </row>
    <row r="18">
      <c r="A18" s="101"/>
      <c r="B18" s="190"/>
      <c r="C18" s="255" t="s">
        <v>92</v>
      </c>
      <c r="D18" s="256"/>
      <c r="E18" s="256"/>
      <c r="F18" s="257"/>
      <c r="G18" s="196" t="b">
        <v>1</v>
      </c>
      <c r="H18" s="126"/>
      <c r="I18" s="209"/>
      <c r="J18" s="109"/>
      <c r="K18" s="200"/>
      <c r="L18" s="134"/>
      <c r="M18" s="134"/>
      <c r="N18" s="134"/>
      <c r="O18" s="134"/>
      <c r="P18" s="134"/>
      <c r="Q18" s="134"/>
      <c r="R18" s="134"/>
      <c r="S18" s="134"/>
      <c r="T18" s="193"/>
      <c r="U18" s="228"/>
      <c r="V18" s="200"/>
      <c r="W18" s="134"/>
      <c r="X18" s="134"/>
      <c r="Y18" s="134"/>
      <c r="Z18" s="134"/>
      <c r="AA18" s="134"/>
      <c r="AB18" s="134"/>
      <c r="AC18" s="134"/>
      <c r="AD18" s="134"/>
      <c r="AE18" s="193"/>
      <c r="AF18" s="221"/>
      <c r="AG18" s="200"/>
      <c r="AH18" s="134"/>
      <c r="AI18" s="134"/>
      <c r="AJ18" s="134"/>
      <c r="AK18" s="134"/>
      <c r="AL18" s="134"/>
      <c r="AM18" s="134"/>
      <c r="AN18" s="134"/>
      <c r="AO18" s="134"/>
      <c r="AP18" s="193"/>
      <c r="AQ18" s="109"/>
      <c r="AR18" s="116"/>
      <c r="AS18" s="123" t="s">
        <v>93</v>
      </c>
      <c r="AT18" s="118"/>
      <c r="AU18" s="123"/>
      <c r="AV18" s="118"/>
      <c r="AW18" s="118"/>
      <c r="AX18" s="265" t="str">
        <f>IFERROR((AX13-$V$7)/AX13,"")</f>
        <v/>
      </c>
      <c r="AY18" s="125"/>
      <c r="AZ18" s="126"/>
      <c r="BA18" s="119"/>
      <c r="BB18" s="114"/>
    </row>
    <row r="19">
      <c r="A19" s="101"/>
      <c r="B19" s="190"/>
      <c r="C19" s="255" t="s">
        <v>94</v>
      </c>
      <c r="D19" s="256"/>
      <c r="E19" s="256"/>
      <c r="F19" s="257"/>
      <c r="G19" s="267">
        <v>0.12</v>
      </c>
      <c r="H19" s="126"/>
      <c r="I19" s="209"/>
      <c r="J19" s="109"/>
      <c r="K19" s="200"/>
      <c r="L19" s="133" t="s">
        <v>95</v>
      </c>
      <c r="M19" s="134"/>
      <c r="N19" s="134"/>
      <c r="O19" s="134"/>
      <c r="P19" s="134"/>
      <c r="Q19" s="192">
        <f>Q13*$G$22</f>
        <v>0</v>
      </c>
      <c r="R19" s="125"/>
      <c r="S19" s="126"/>
      <c r="T19" s="193"/>
      <c r="U19" s="228"/>
      <c r="V19" s="200"/>
      <c r="W19" s="133" t="s">
        <v>95</v>
      </c>
      <c r="X19" s="134"/>
      <c r="Y19" s="134"/>
      <c r="Z19" s="134"/>
      <c r="AA19" s="134"/>
      <c r="AB19" s="192">
        <f>AB13*$G$22</f>
        <v>0</v>
      </c>
      <c r="AC19" s="125"/>
      <c r="AD19" s="126"/>
      <c r="AE19" s="193"/>
      <c r="AF19" s="221"/>
      <c r="AG19" s="200"/>
      <c r="AH19" s="133" t="s">
        <v>95</v>
      </c>
      <c r="AI19" s="134"/>
      <c r="AJ19" s="134"/>
      <c r="AK19" s="134"/>
      <c r="AL19" s="134"/>
      <c r="AM19" s="192">
        <f>AM13*$G$22</f>
        <v>0</v>
      </c>
      <c r="AN19" s="125"/>
      <c r="AO19" s="126"/>
      <c r="AP19" s="193"/>
      <c r="AQ19" s="109"/>
      <c r="AR19" s="116"/>
      <c r="AS19" s="144" t="s">
        <v>96</v>
      </c>
      <c r="AT19" s="144"/>
      <c r="AU19" s="268"/>
      <c r="AV19" s="268"/>
      <c r="AW19" s="269"/>
      <c r="AX19" s="270" t="str">
        <f>IFERROR((AX13-AX15)/AX15,"")</f>
        <v/>
      </c>
      <c r="AY19" s="125"/>
      <c r="AZ19" s="126"/>
      <c r="BA19" s="119"/>
      <c r="BB19" s="114"/>
    </row>
    <row r="20">
      <c r="A20" s="101"/>
      <c r="B20" s="271"/>
      <c r="C20" s="272" t="s">
        <v>97</v>
      </c>
      <c r="D20" s="273"/>
      <c r="E20" s="273"/>
      <c r="F20" s="274"/>
      <c r="G20" s="196">
        <v>1.0</v>
      </c>
      <c r="H20" s="126"/>
      <c r="I20" s="275"/>
      <c r="J20" s="109"/>
      <c r="K20" s="200"/>
      <c r="L20" s="133" t="s">
        <v>98</v>
      </c>
      <c r="M20" s="134"/>
      <c r="N20" s="134"/>
      <c r="O20" s="134"/>
      <c r="P20" s="134"/>
      <c r="Q20" s="192">
        <f>Q13-Q19</f>
        <v>0</v>
      </c>
      <c r="R20" s="125"/>
      <c r="S20" s="126"/>
      <c r="T20" s="193"/>
      <c r="U20" s="228"/>
      <c r="V20" s="200"/>
      <c r="W20" s="133" t="s">
        <v>98</v>
      </c>
      <c r="X20" s="134"/>
      <c r="Y20" s="134"/>
      <c r="Z20" s="134"/>
      <c r="AA20" s="134"/>
      <c r="AB20" s="192">
        <f>AB13-AB19</f>
        <v>0</v>
      </c>
      <c r="AC20" s="125"/>
      <c r="AD20" s="126"/>
      <c r="AE20" s="193"/>
      <c r="AF20" s="221"/>
      <c r="AG20" s="200"/>
      <c r="AH20" s="133" t="s">
        <v>98</v>
      </c>
      <c r="AI20" s="134"/>
      <c r="AJ20" s="134"/>
      <c r="AK20" s="134"/>
      <c r="AL20" s="134"/>
      <c r="AM20" s="192">
        <f>AM13-AM19</f>
        <v>0</v>
      </c>
      <c r="AN20" s="125"/>
      <c r="AO20" s="126"/>
      <c r="AP20" s="193"/>
      <c r="AQ20" s="109"/>
      <c r="AR20" s="116"/>
      <c r="AS20" s="123"/>
      <c r="AT20" s="118"/>
      <c r="AU20" s="118"/>
      <c r="AV20" s="118"/>
      <c r="AW20" s="118"/>
      <c r="AX20" s="276"/>
      <c r="AY20" s="125"/>
      <c r="AZ20" s="126"/>
      <c r="BA20" s="119"/>
      <c r="BB20" s="114"/>
    </row>
    <row r="21">
      <c r="A21" s="101"/>
      <c r="B21" s="200"/>
      <c r="C21" s="277" t="s">
        <v>99</v>
      </c>
      <c r="D21" s="148"/>
      <c r="E21" s="148"/>
      <c r="F21" s="149"/>
      <c r="G21" s="246"/>
      <c r="H21" s="246"/>
      <c r="I21" s="193"/>
      <c r="J21" s="109"/>
      <c r="K21" s="200"/>
      <c r="L21" s="134"/>
      <c r="M21" s="243" t="s">
        <v>91</v>
      </c>
      <c r="N21" s="134"/>
      <c r="O21" s="134"/>
      <c r="P21" s="278">
        <f>Q20-$V$7</f>
        <v>0</v>
      </c>
      <c r="Q21" s="125"/>
      <c r="R21" s="126"/>
      <c r="S21" s="279"/>
      <c r="T21" s="193"/>
      <c r="U21" s="228"/>
      <c r="V21" s="200"/>
      <c r="W21" s="134"/>
      <c r="X21" s="243" t="s">
        <v>91</v>
      </c>
      <c r="Y21" s="134"/>
      <c r="Z21" s="134"/>
      <c r="AA21" s="278">
        <f>AB20-$V$7</f>
        <v>0</v>
      </c>
      <c r="AB21" s="125"/>
      <c r="AC21" s="126"/>
      <c r="AD21" s="279"/>
      <c r="AE21" s="193"/>
      <c r="AF21" s="221"/>
      <c r="AG21" s="200"/>
      <c r="AH21" s="134"/>
      <c r="AI21" s="243" t="s">
        <v>91</v>
      </c>
      <c r="AJ21" s="134"/>
      <c r="AK21" s="134"/>
      <c r="AL21" s="278">
        <f>AM20-$V$7</f>
        <v>0</v>
      </c>
      <c r="AM21" s="125"/>
      <c r="AN21" s="126"/>
      <c r="AO21" s="279"/>
      <c r="AP21" s="193"/>
      <c r="AQ21" s="109"/>
      <c r="AR21" s="116"/>
      <c r="AS21" s="123" t="s">
        <v>95</v>
      </c>
      <c r="AT21" s="118"/>
      <c r="AU21" s="118"/>
      <c r="AV21" s="118"/>
      <c r="AW21" s="118"/>
      <c r="AX21" s="280">
        <f>AX13*$G$22</f>
        <v>0</v>
      </c>
      <c r="AY21" s="125"/>
      <c r="AZ21" s="126"/>
      <c r="BA21" s="119"/>
      <c r="BB21" s="114"/>
    </row>
    <row r="22">
      <c r="A22" s="101"/>
      <c r="B22" s="200"/>
      <c r="C22" s="150"/>
      <c r="F22" s="151"/>
      <c r="G22" s="267">
        <v>0.2</v>
      </c>
      <c r="H22" s="126"/>
      <c r="I22" s="209"/>
      <c r="J22" s="109"/>
      <c r="K22" s="116"/>
      <c r="L22" s="118"/>
      <c r="M22" s="118"/>
      <c r="N22" s="118"/>
      <c r="O22" s="118"/>
      <c r="P22" s="118"/>
      <c r="Q22" s="118"/>
      <c r="R22" s="118"/>
      <c r="S22" s="118"/>
      <c r="T22" s="119"/>
      <c r="U22" s="109"/>
      <c r="V22" s="116"/>
      <c r="W22" s="118"/>
      <c r="X22" s="118"/>
      <c r="Y22" s="118"/>
      <c r="Z22" s="118"/>
      <c r="AA22" s="118"/>
      <c r="AB22" s="118"/>
      <c r="AC22" s="118"/>
      <c r="AD22" s="118"/>
      <c r="AE22" s="119"/>
      <c r="AF22" s="109"/>
      <c r="AG22" s="116"/>
      <c r="AH22" s="118"/>
      <c r="AI22" s="118"/>
      <c r="AJ22" s="118"/>
      <c r="AK22" s="118"/>
      <c r="AL22" s="118"/>
      <c r="AM22" s="118"/>
      <c r="AN22" s="118"/>
      <c r="AO22" s="118"/>
      <c r="AP22" s="119"/>
      <c r="AQ22" s="109"/>
      <c r="AR22" s="116"/>
      <c r="AS22" s="123" t="s">
        <v>98</v>
      </c>
      <c r="AT22" s="118"/>
      <c r="AU22" s="118"/>
      <c r="AV22" s="118"/>
      <c r="AW22" s="118"/>
      <c r="AX22" s="280">
        <f>AX13-AX21</f>
        <v>0</v>
      </c>
      <c r="AY22" s="125"/>
      <c r="AZ22" s="126"/>
      <c r="BA22" s="119"/>
      <c r="BB22" s="114"/>
    </row>
    <row r="23">
      <c r="A23" s="101"/>
      <c r="B23" s="200"/>
      <c r="C23" s="281"/>
      <c r="D23" s="250"/>
      <c r="E23" s="250"/>
      <c r="F23" s="251"/>
      <c r="G23" s="140"/>
      <c r="H23" s="140"/>
      <c r="I23" s="193"/>
      <c r="J23" s="109"/>
      <c r="K23" s="116"/>
      <c r="L23" s="118"/>
      <c r="M23" s="118"/>
      <c r="N23" s="118"/>
      <c r="O23" s="118"/>
      <c r="P23" s="118"/>
      <c r="Q23" s="118"/>
      <c r="R23" s="118"/>
      <c r="S23" s="118"/>
      <c r="T23" s="119"/>
      <c r="U23" s="109"/>
      <c r="V23" s="116"/>
      <c r="W23" s="118"/>
      <c r="X23" s="118"/>
      <c r="Y23" s="118"/>
      <c r="Z23" s="118"/>
      <c r="AA23" s="118"/>
      <c r="AB23" s="118"/>
      <c r="AC23" s="118"/>
      <c r="AD23" s="118"/>
      <c r="AE23" s="119"/>
      <c r="AF23" s="109"/>
      <c r="AG23" s="116"/>
      <c r="AH23" s="118"/>
      <c r="AI23" s="118"/>
      <c r="AJ23" s="118"/>
      <c r="AK23" s="118"/>
      <c r="AL23" s="118"/>
      <c r="AM23" s="118"/>
      <c r="AN23" s="118"/>
      <c r="AO23" s="118"/>
      <c r="AP23" s="119"/>
      <c r="AQ23" s="109"/>
      <c r="AR23" s="116"/>
      <c r="AS23" s="118"/>
      <c r="AT23" s="282" t="s">
        <v>91</v>
      </c>
      <c r="AU23" s="118"/>
      <c r="AV23" s="118"/>
      <c r="AW23" s="283">
        <f>AX22-$V$7</f>
        <v>0</v>
      </c>
      <c r="AX23" s="125"/>
      <c r="AY23" s="126"/>
      <c r="AZ23" s="284"/>
      <c r="BA23" s="119"/>
      <c r="BB23" s="114"/>
    </row>
    <row r="24">
      <c r="A24" s="101"/>
      <c r="B24" s="210"/>
      <c r="C24" s="285"/>
      <c r="D24" s="285"/>
      <c r="E24" s="285"/>
      <c r="F24" s="285"/>
      <c r="G24" s="285"/>
      <c r="H24" s="285"/>
      <c r="I24" s="212"/>
      <c r="J24" s="286"/>
      <c r="K24" s="287"/>
      <c r="L24" s="130"/>
      <c r="M24" s="130"/>
      <c r="N24" s="130"/>
      <c r="O24" s="130"/>
      <c r="P24" s="130"/>
      <c r="Q24" s="130"/>
      <c r="R24" s="130"/>
      <c r="S24" s="130"/>
      <c r="T24" s="288"/>
      <c r="U24" s="286"/>
      <c r="V24" s="287"/>
      <c r="W24" s="130"/>
      <c r="X24" s="130"/>
      <c r="Y24" s="130"/>
      <c r="Z24" s="130"/>
      <c r="AA24" s="130"/>
      <c r="AB24" s="130"/>
      <c r="AC24" s="130"/>
      <c r="AD24" s="130"/>
      <c r="AE24" s="288"/>
      <c r="AF24" s="286"/>
      <c r="AG24" s="287"/>
      <c r="AH24" s="130"/>
      <c r="AI24" s="130"/>
      <c r="AJ24" s="130"/>
      <c r="AK24" s="130"/>
      <c r="AL24" s="130"/>
      <c r="AM24" s="130"/>
      <c r="AN24" s="130"/>
      <c r="AO24" s="130"/>
      <c r="AP24" s="288"/>
      <c r="AQ24" s="109"/>
      <c r="AR24" s="152"/>
      <c r="AS24" s="138"/>
      <c r="AT24" s="138"/>
      <c r="AU24" s="138"/>
      <c r="AV24" s="138"/>
      <c r="AW24" s="138"/>
      <c r="AX24" s="138"/>
      <c r="AY24" s="138"/>
      <c r="AZ24" s="138"/>
      <c r="BA24" s="156"/>
      <c r="BB24" s="114"/>
    </row>
    <row r="25">
      <c r="A25" s="83"/>
      <c r="B25" s="162"/>
      <c r="C25" s="162"/>
      <c r="D25" s="162"/>
      <c r="E25" s="162"/>
      <c r="F25" s="162"/>
      <c r="G25" s="162"/>
      <c r="H25" s="162"/>
      <c r="I25" s="162"/>
      <c r="J25" s="289"/>
      <c r="K25" s="162"/>
      <c r="L25" s="162"/>
      <c r="M25" s="162"/>
      <c r="N25" s="162"/>
      <c r="O25" s="162"/>
      <c r="P25" s="162"/>
      <c r="Q25" s="162"/>
      <c r="R25" s="162"/>
      <c r="S25" s="162"/>
      <c r="T25" s="162"/>
      <c r="U25" s="290"/>
      <c r="V25" s="157"/>
      <c r="W25" s="162"/>
      <c r="X25" s="162"/>
      <c r="Y25" s="162"/>
      <c r="Z25" s="162"/>
      <c r="AA25" s="162"/>
      <c r="AB25" s="162"/>
      <c r="AC25" s="162"/>
      <c r="AD25" s="162"/>
      <c r="AE25" s="162"/>
      <c r="AF25" s="289"/>
      <c r="AG25" s="162"/>
      <c r="AH25" s="162"/>
      <c r="AI25" s="162"/>
      <c r="AJ25" s="162"/>
      <c r="AK25" s="162"/>
      <c r="AL25" s="162"/>
      <c r="AM25" s="162"/>
      <c r="AN25" s="162"/>
      <c r="AO25" s="162"/>
      <c r="AP25" s="157"/>
      <c r="AQ25" s="88"/>
      <c r="AR25" s="291"/>
      <c r="AS25" s="291"/>
      <c r="AT25" s="291"/>
      <c r="AU25" s="291"/>
      <c r="AV25" s="291"/>
      <c r="AW25" s="291"/>
      <c r="AX25" s="291"/>
      <c r="AY25" s="291"/>
      <c r="AZ25" s="291"/>
      <c r="BA25" s="292"/>
      <c r="BB25" s="83"/>
    </row>
    <row r="26">
      <c r="A26" s="101"/>
      <c r="B26" s="26" t="s">
        <v>100</v>
      </c>
      <c r="C26" s="27"/>
      <c r="D26" s="27"/>
      <c r="E26" s="27"/>
      <c r="F26" s="293"/>
      <c r="G26" s="294" t="s">
        <v>101</v>
      </c>
      <c r="H26" s="27"/>
      <c r="I26" s="293"/>
      <c r="J26" s="294" t="s">
        <v>9</v>
      </c>
      <c r="K26" s="27"/>
      <c r="L26" s="293"/>
      <c r="M26" s="294" t="s">
        <v>11</v>
      </c>
      <c r="N26" s="27"/>
      <c r="O26" s="27"/>
      <c r="P26" s="293"/>
      <c r="Q26" s="294" t="s">
        <v>102</v>
      </c>
      <c r="R26" s="27"/>
      <c r="S26" s="27"/>
      <c r="T26" s="29"/>
      <c r="U26" s="295"/>
      <c r="V26" s="296"/>
      <c r="W26" s="26" t="s">
        <v>1</v>
      </c>
      <c r="X26" s="27"/>
      <c r="Y26" s="27"/>
      <c r="Z26" s="27"/>
      <c r="AA26" s="293"/>
      <c r="AB26" s="294" t="s">
        <v>101</v>
      </c>
      <c r="AC26" s="27"/>
      <c r="AD26" s="293"/>
      <c r="AE26" s="294" t="s">
        <v>9</v>
      </c>
      <c r="AF26" s="27"/>
      <c r="AG26" s="293"/>
      <c r="AH26" s="294" t="s">
        <v>11</v>
      </c>
      <c r="AI26" s="27"/>
      <c r="AJ26" s="27"/>
      <c r="AK26" s="293"/>
      <c r="AL26" s="294" t="s">
        <v>102</v>
      </c>
      <c r="AM26" s="27"/>
      <c r="AN26" s="27"/>
      <c r="AO26" s="29"/>
      <c r="AP26" s="109"/>
      <c r="AQ26" s="110"/>
      <c r="AR26" s="297"/>
      <c r="AS26" s="297"/>
      <c r="AT26" s="297"/>
      <c r="AU26" s="297"/>
      <c r="AV26" s="297"/>
      <c r="AW26" s="297"/>
      <c r="AX26" s="297"/>
      <c r="AY26" s="297"/>
      <c r="AZ26" s="113"/>
      <c r="BA26" s="114"/>
      <c r="BB26" s="83"/>
    </row>
    <row r="27">
      <c r="A27" s="101"/>
      <c r="B27" s="298"/>
      <c r="C27" s="42"/>
      <c r="D27" s="42"/>
      <c r="E27" s="42"/>
      <c r="F27" s="299"/>
      <c r="G27" s="300"/>
      <c r="H27" s="42"/>
      <c r="I27" s="299"/>
      <c r="J27" s="301" t="str">
        <f t="array" ref="J27">IF(B27="","", INDEX(Ingredients!G:G, MATCH(B27, Ingredients!B:B,0)))</f>
        <v/>
      </c>
      <c r="K27" s="42"/>
      <c r="L27" s="299"/>
      <c r="M27" s="301" t="str">
        <f t="array" ref="M27">IF(B27="","", INDEX(Ingredients!H:H, MATCH(B27, Ingredients!B:B,0)))</f>
        <v/>
      </c>
      <c r="N27" s="42"/>
      <c r="O27" s="42"/>
      <c r="P27" s="299"/>
      <c r="Q27" s="302" t="str">
        <f t="shared" ref="Q27:Q292" si="1">IF(G27="","", G27*M27)</f>
        <v/>
      </c>
      <c r="R27" s="42"/>
      <c r="S27" s="42"/>
      <c r="T27" s="44"/>
      <c r="U27" s="114"/>
      <c r="V27" s="101"/>
      <c r="W27" s="298"/>
      <c r="X27" s="42"/>
      <c r="Y27" s="42"/>
      <c r="Z27" s="42"/>
      <c r="AA27" s="299"/>
      <c r="AB27" s="300"/>
      <c r="AC27" s="42"/>
      <c r="AD27" s="299"/>
      <c r="AE27" s="301" t="str">
        <f t="array" ref="AE27">IF(W27="","", INDEX(Other!G:G, MATCH(W27, Other!B:B,0)))</f>
        <v/>
      </c>
      <c r="AF27" s="42"/>
      <c r="AG27" s="299"/>
      <c r="AH27" s="301" t="str">
        <f t="array" ref="AH27">IF(W27="","", INDEX(Other!H:H, MATCH(W27, Other!B:B,0)))</f>
        <v/>
      </c>
      <c r="AI27" s="42"/>
      <c r="AJ27" s="42"/>
      <c r="AK27" s="299"/>
      <c r="AL27" s="301" t="str">
        <f t="shared" ref="AL27:AL292" si="2">IF(AB27="","", AB27*AH27)</f>
        <v/>
      </c>
      <c r="AM27" s="42"/>
      <c r="AN27" s="42"/>
      <c r="AO27" s="44"/>
      <c r="AP27" s="109"/>
      <c r="AQ27" s="116"/>
      <c r="AR27" s="303" t="s">
        <v>103</v>
      </c>
      <c r="AS27" s="125"/>
      <c r="AT27" s="125"/>
      <c r="AU27" s="125"/>
      <c r="AV27" s="125"/>
      <c r="AW27" s="125"/>
      <c r="AX27" s="125"/>
      <c r="AY27" s="126"/>
      <c r="AZ27" s="119"/>
      <c r="BA27" s="304"/>
      <c r="BB27" s="83"/>
    </row>
    <row r="28">
      <c r="A28" s="101"/>
      <c r="B28" s="298"/>
      <c r="C28" s="42"/>
      <c r="D28" s="42"/>
      <c r="E28" s="42"/>
      <c r="F28" s="299"/>
      <c r="G28" s="300"/>
      <c r="H28" s="42"/>
      <c r="I28" s="299"/>
      <c r="J28" s="301" t="str">
        <f t="array" ref="J28">IF(B28="","", INDEX(Ingredients!G:G, MATCH(B28, Ingredients!B:B,0)))</f>
        <v/>
      </c>
      <c r="K28" s="42"/>
      <c r="L28" s="299"/>
      <c r="M28" s="301" t="str">
        <f t="array" ref="M28">IF(B28="","", INDEX(Ingredients!H:H, MATCH(B28, Ingredients!B:B,0)))</f>
        <v/>
      </c>
      <c r="N28" s="42"/>
      <c r="O28" s="42"/>
      <c r="P28" s="299"/>
      <c r="Q28" s="302" t="str">
        <f t="shared" si="1"/>
        <v/>
      </c>
      <c r="R28" s="42"/>
      <c r="S28" s="42"/>
      <c r="T28" s="44"/>
      <c r="U28" s="114"/>
      <c r="V28" s="101"/>
      <c r="W28" s="298"/>
      <c r="X28" s="42"/>
      <c r="Y28" s="42"/>
      <c r="Z28" s="42"/>
      <c r="AA28" s="299"/>
      <c r="AB28" s="300"/>
      <c r="AC28" s="42"/>
      <c r="AD28" s="299"/>
      <c r="AE28" s="301" t="str">
        <f t="array" ref="AE28">IF(W28="","", INDEX(Other!G:G, MATCH(W28, Other!B:B,0)))</f>
        <v/>
      </c>
      <c r="AF28" s="42"/>
      <c r="AG28" s="299"/>
      <c r="AH28" s="301" t="str">
        <f t="array" ref="AH28">IF(W28="","", INDEX(Other!H:H, MATCH(W28, Other!B:B,0)))</f>
        <v/>
      </c>
      <c r="AI28" s="42"/>
      <c r="AJ28" s="42"/>
      <c r="AK28" s="299"/>
      <c r="AL28" s="301" t="str">
        <f t="shared" si="2"/>
        <v/>
      </c>
      <c r="AM28" s="42"/>
      <c r="AN28" s="42"/>
      <c r="AO28" s="44"/>
      <c r="AP28" s="109"/>
      <c r="AQ28" s="116"/>
      <c r="AR28" s="305" t="s">
        <v>104</v>
      </c>
      <c r="AS28" s="148"/>
      <c r="AT28" s="148"/>
      <c r="AU28" s="148"/>
      <c r="AV28" s="148"/>
      <c r="AW28" s="148"/>
      <c r="AX28" s="148"/>
      <c r="AY28" s="149"/>
      <c r="AZ28" s="119"/>
      <c r="BA28" s="304"/>
      <c r="BB28" s="83"/>
    </row>
    <row r="29">
      <c r="A29" s="101"/>
      <c r="B29" s="298"/>
      <c r="C29" s="42"/>
      <c r="D29" s="42"/>
      <c r="E29" s="42"/>
      <c r="F29" s="299"/>
      <c r="G29" s="300"/>
      <c r="H29" s="42"/>
      <c r="I29" s="299"/>
      <c r="J29" s="301" t="str">
        <f t="array" ref="J29">IF(B29="","", INDEX(Ingredients!G:G, MATCH(B29, Ingredients!B:B,0)))</f>
        <v/>
      </c>
      <c r="K29" s="42"/>
      <c r="L29" s="299"/>
      <c r="M29" s="301" t="str">
        <f t="array" ref="M29">IF(B29="","", INDEX(Ingredients!H:H, MATCH(B29, Ingredients!B:B,0)))</f>
        <v/>
      </c>
      <c r="N29" s="42"/>
      <c r="O29" s="42"/>
      <c r="P29" s="299"/>
      <c r="Q29" s="302" t="str">
        <f t="shared" si="1"/>
        <v/>
      </c>
      <c r="R29" s="42"/>
      <c r="S29" s="42"/>
      <c r="T29" s="44"/>
      <c r="U29" s="114"/>
      <c r="V29" s="101"/>
      <c r="W29" s="298"/>
      <c r="X29" s="42"/>
      <c r="Y29" s="42"/>
      <c r="Z29" s="42"/>
      <c r="AA29" s="299"/>
      <c r="AB29" s="300"/>
      <c r="AC29" s="42"/>
      <c r="AD29" s="299"/>
      <c r="AE29" s="301" t="str">
        <f t="array" ref="AE29">IF(W29="","", INDEX(Other!G:G, MATCH(W29, Other!B:B,0)))</f>
        <v/>
      </c>
      <c r="AF29" s="42"/>
      <c r="AG29" s="299"/>
      <c r="AH29" s="301" t="str">
        <f t="array" ref="AH29">IF(W29="","", INDEX(Other!H:H, MATCH(W29, Other!B:B,0)))</f>
        <v/>
      </c>
      <c r="AI29" s="42"/>
      <c r="AJ29" s="42"/>
      <c r="AK29" s="299"/>
      <c r="AL29" s="301" t="str">
        <f t="shared" si="2"/>
        <v/>
      </c>
      <c r="AM29" s="42"/>
      <c r="AN29" s="42"/>
      <c r="AO29" s="44"/>
      <c r="AP29" s="109"/>
      <c r="AQ29" s="116"/>
      <c r="AR29" s="150"/>
      <c r="AY29" s="151"/>
      <c r="AZ29" s="119"/>
      <c r="BA29" s="304"/>
      <c r="BB29" s="83"/>
    </row>
    <row r="30">
      <c r="A30" s="101"/>
      <c r="B30" s="298"/>
      <c r="C30" s="42"/>
      <c r="D30" s="42"/>
      <c r="E30" s="42"/>
      <c r="F30" s="299"/>
      <c r="G30" s="300"/>
      <c r="H30" s="42"/>
      <c r="I30" s="299"/>
      <c r="J30" s="301" t="str">
        <f t="array" ref="J30">IF(B30="","", INDEX(Ingredients!G:G, MATCH(B30, Ingredients!B:B,0)))</f>
        <v/>
      </c>
      <c r="K30" s="42"/>
      <c r="L30" s="299"/>
      <c r="M30" s="301" t="str">
        <f t="array" ref="M30">IF(B30="","", INDEX(Ingredients!H:H, MATCH(B30, Ingredients!B:B,0)))</f>
        <v/>
      </c>
      <c r="N30" s="42"/>
      <c r="O30" s="42"/>
      <c r="P30" s="299"/>
      <c r="Q30" s="302" t="str">
        <f t="shared" si="1"/>
        <v/>
      </c>
      <c r="R30" s="42"/>
      <c r="S30" s="42"/>
      <c r="T30" s="44"/>
      <c r="U30" s="114"/>
      <c r="V30" s="101"/>
      <c r="W30" s="298"/>
      <c r="X30" s="42"/>
      <c r="Y30" s="42"/>
      <c r="Z30" s="42"/>
      <c r="AA30" s="299"/>
      <c r="AB30" s="300"/>
      <c r="AC30" s="42"/>
      <c r="AD30" s="299"/>
      <c r="AE30" s="301" t="str">
        <f t="array" ref="AE30">IF(W30="","", INDEX(Other!G:G, MATCH(W30, Other!B:B,0)))</f>
        <v/>
      </c>
      <c r="AF30" s="42"/>
      <c r="AG30" s="299"/>
      <c r="AH30" s="301" t="str">
        <f t="array" ref="AH30">IF(W30="","", INDEX(Other!H:H, MATCH(W30, Other!B:B,0)))</f>
        <v/>
      </c>
      <c r="AI30" s="42"/>
      <c r="AJ30" s="42"/>
      <c r="AK30" s="299"/>
      <c r="AL30" s="301" t="str">
        <f t="shared" si="2"/>
        <v/>
      </c>
      <c r="AM30" s="42"/>
      <c r="AN30" s="42"/>
      <c r="AO30" s="44"/>
      <c r="AP30" s="109"/>
      <c r="AQ30" s="116"/>
      <c r="AR30" s="150"/>
      <c r="AY30" s="151"/>
      <c r="AZ30" s="119"/>
      <c r="BA30" s="304"/>
      <c r="BB30" s="83"/>
    </row>
    <row r="31">
      <c r="A31" s="101"/>
      <c r="B31" s="298"/>
      <c r="C31" s="42"/>
      <c r="D31" s="42"/>
      <c r="E31" s="42"/>
      <c r="F31" s="299"/>
      <c r="G31" s="300"/>
      <c r="H31" s="42"/>
      <c r="I31" s="299"/>
      <c r="J31" s="301" t="str">
        <f t="array" ref="J31">IF(B31="","", INDEX(Ingredients!G:G, MATCH(B31, Ingredients!B:B,0)))</f>
        <v/>
      </c>
      <c r="K31" s="42"/>
      <c r="L31" s="299"/>
      <c r="M31" s="301" t="str">
        <f t="array" ref="M31">IF(B31="","", INDEX(Ingredients!H:H, MATCH(B31, Ingredients!B:B,0)))</f>
        <v/>
      </c>
      <c r="N31" s="42"/>
      <c r="O31" s="42"/>
      <c r="P31" s="299"/>
      <c r="Q31" s="302" t="str">
        <f t="shared" si="1"/>
        <v/>
      </c>
      <c r="R31" s="42"/>
      <c r="S31" s="42"/>
      <c r="T31" s="44"/>
      <c r="U31" s="114"/>
      <c r="V31" s="101"/>
      <c r="W31" s="298"/>
      <c r="X31" s="42"/>
      <c r="Y31" s="42"/>
      <c r="Z31" s="42"/>
      <c r="AA31" s="299"/>
      <c r="AB31" s="300"/>
      <c r="AC31" s="42"/>
      <c r="AD31" s="299"/>
      <c r="AE31" s="301" t="str">
        <f t="array" ref="AE31">IF(W31="","", INDEX(Other!G:G, MATCH(W31, Other!B:B,0)))</f>
        <v/>
      </c>
      <c r="AF31" s="42"/>
      <c r="AG31" s="299"/>
      <c r="AH31" s="301" t="str">
        <f t="array" ref="AH31">IF(W31="","", INDEX(Other!H:H, MATCH(W31, Other!B:B,0)))</f>
        <v/>
      </c>
      <c r="AI31" s="42"/>
      <c r="AJ31" s="42"/>
      <c r="AK31" s="299"/>
      <c r="AL31" s="301" t="str">
        <f t="shared" si="2"/>
        <v/>
      </c>
      <c r="AM31" s="42"/>
      <c r="AN31" s="42"/>
      <c r="AO31" s="44"/>
      <c r="AP31" s="109"/>
      <c r="AQ31" s="116"/>
      <c r="AR31" s="150"/>
      <c r="AY31" s="151"/>
      <c r="AZ31" s="119"/>
      <c r="BA31" s="304"/>
      <c r="BB31" s="83"/>
    </row>
    <row r="32">
      <c r="A32" s="101"/>
      <c r="B32" s="298"/>
      <c r="C32" s="42"/>
      <c r="D32" s="42"/>
      <c r="E32" s="42"/>
      <c r="F32" s="299"/>
      <c r="G32" s="300"/>
      <c r="H32" s="42"/>
      <c r="I32" s="299"/>
      <c r="J32" s="301" t="str">
        <f t="array" ref="J32">IF(B32="","", INDEX(Ingredients!G:G, MATCH(B32, Ingredients!B:B,0)))</f>
        <v/>
      </c>
      <c r="K32" s="42"/>
      <c r="L32" s="299"/>
      <c r="M32" s="301" t="str">
        <f t="array" ref="M32">IF(B32="","", INDEX(Ingredients!H:H, MATCH(B32, Ingredients!B:B,0)))</f>
        <v/>
      </c>
      <c r="N32" s="42"/>
      <c r="O32" s="42"/>
      <c r="P32" s="299"/>
      <c r="Q32" s="302" t="str">
        <f t="shared" si="1"/>
        <v/>
      </c>
      <c r="R32" s="42"/>
      <c r="S32" s="42"/>
      <c r="T32" s="44"/>
      <c r="U32" s="114"/>
      <c r="V32" s="101"/>
      <c r="W32" s="298"/>
      <c r="X32" s="42"/>
      <c r="Y32" s="42"/>
      <c r="Z32" s="42"/>
      <c r="AA32" s="299"/>
      <c r="AB32" s="300"/>
      <c r="AC32" s="42"/>
      <c r="AD32" s="299"/>
      <c r="AE32" s="301" t="str">
        <f t="array" ref="AE32">IF(W32="","", INDEX(Other!G:G, MATCH(W32, Other!B:B,0)))</f>
        <v/>
      </c>
      <c r="AF32" s="42"/>
      <c r="AG32" s="299"/>
      <c r="AH32" s="301" t="str">
        <f t="array" ref="AH32">IF(W32="","", INDEX(Other!H:H, MATCH(W32, Other!B:B,0)))</f>
        <v/>
      </c>
      <c r="AI32" s="42"/>
      <c r="AJ32" s="42"/>
      <c r="AK32" s="299"/>
      <c r="AL32" s="301" t="str">
        <f t="shared" si="2"/>
        <v/>
      </c>
      <c r="AM32" s="42"/>
      <c r="AN32" s="42"/>
      <c r="AO32" s="44"/>
      <c r="AP32" s="109"/>
      <c r="AQ32" s="116"/>
      <c r="AR32" s="281"/>
      <c r="AS32" s="250"/>
      <c r="AT32" s="250"/>
      <c r="AU32" s="250"/>
      <c r="AV32" s="250"/>
      <c r="AW32" s="250"/>
      <c r="AX32" s="250"/>
      <c r="AY32" s="251"/>
      <c r="AZ32" s="119"/>
      <c r="BA32" s="304"/>
      <c r="BB32" s="83"/>
    </row>
    <row r="33">
      <c r="A33" s="101"/>
      <c r="B33" s="298"/>
      <c r="C33" s="42"/>
      <c r="D33" s="42"/>
      <c r="E33" s="42"/>
      <c r="F33" s="299"/>
      <c r="G33" s="300"/>
      <c r="H33" s="42"/>
      <c r="I33" s="299"/>
      <c r="J33" s="301" t="str">
        <f t="array" ref="J33">IF(B33="","", INDEX(Ingredients!G:G, MATCH(B33, Ingredients!B:B,0)))</f>
        <v/>
      </c>
      <c r="K33" s="42"/>
      <c r="L33" s="299"/>
      <c r="M33" s="301" t="str">
        <f t="array" ref="M33">IF(B33="","", INDEX(Ingredients!H:H, MATCH(B33, Ingredients!B:B,0)))</f>
        <v/>
      </c>
      <c r="N33" s="42"/>
      <c r="O33" s="42"/>
      <c r="P33" s="299"/>
      <c r="Q33" s="302" t="str">
        <f t="shared" si="1"/>
        <v/>
      </c>
      <c r="R33" s="42"/>
      <c r="S33" s="42"/>
      <c r="T33" s="44"/>
      <c r="U33" s="114"/>
      <c r="V33" s="101"/>
      <c r="W33" s="298"/>
      <c r="X33" s="42"/>
      <c r="Y33" s="42"/>
      <c r="Z33" s="42"/>
      <c r="AA33" s="299"/>
      <c r="AB33" s="300"/>
      <c r="AC33" s="42"/>
      <c r="AD33" s="299"/>
      <c r="AE33" s="301" t="str">
        <f t="array" ref="AE33">IF(W33="","", INDEX(Other!G:G, MATCH(W33, Other!B:B,0)))</f>
        <v/>
      </c>
      <c r="AF33" s="42"/>
      <c r="AG33" s="299"/>
      <c r="AH33" s="301" t="str">
        <f t="array" ref="AH33">IF(W33="","", INDEX(Other!H:H, MATCH(W33, Other!B:B,0)))</f>
        <v/>
      </c>
      <c r="AI33" s="42"/>
      <c r="AJ33" s="42"/>
      <c r="AK33" s="299"/>
      <c r="AL33" s="301" t="str">
        <f t="shared" si="2"/>
        <v/>
      </c>
      <c r="AM33" s="42"/>
      <c r="AN33" s="42"/>
      <c r="AO33" s="44"/>
      <c r="AP33" s="109"/>
      <c r="AQ33" s="152"/>
      <c r="AR33" s="306"/>
      <c r="AS33" s="306"/>
      <c r="AT33" s="306"/>
      <c r="AU33" s="306"/>
      <c r="AV33" s="306"/>
      <c r="AW33" s="306"/>
      <c r="AX33" s="306"/>
      <c r="AY33" s="306"/>
      <c r="AZ33" s="156"/>
      <c r="BA33" s="304"/>
      <c r="BB33" s="83"/>
    </row>
    <row r="34">
      <c r="A34" s="101"/>
      <c r="B34" s="298"/>
      <c r="C34" s="42"/>
      <c r="D34" s="42"/>
      <c r="E34" s="42"/>
      <c r="F34" s="299"/>
      <c r="G34" s="300"/>
      <c r="H34" s="42"/>
      <c r="I34" s="299"/>
      <c r="J34" s="301" t="str">
        <f t="array" ref="J34">IF(B34="","", INDEX(Ingredients!G:G, MATCH(B34, Ingredients!B:B,0)))</f>
        <v/>
      </c>
      <c r="K34" s="42"/>
      <c r="L34" s="299"/>
      <c r="M34" s="301" t="str">
        <f t="array" ref="M34">IF(B34="","", INDEX(Ingredients!H:H, MATCH(B34, Ingredients!B:B,0)))</f>
        <v/>
      </c>
      <c r="N34" s="42"/>
      <c r="O34" s="42"/>
      <c r="P34" s="299"/>
      <c r="Q34" s="302" t="str">
        <f t="shared" si="1"/>
        <v/>
      </c>
      <c r="R34" s="42"/>
      <c r="S34" s="42"/>
      <c r="T34" s="44"/>
      <c r="U34" s="114"/>
      <c r="V34" s="101"/>
      <c r="W34" s="298"/>
      <c r="X34" s="42"/>
      <c r="Y34" s="42"/>
      <c r="Z34" s="42"/>
      <c r="AA34" s="299"/>
      <c r="AB34" s="300"/>
      <c r="AC34" s="42"/>
      <c r="AD34" s="299"/>
      <c r="AE34" s="301" t="str">
        <f t="array" ref="AE34">IF(W34="","", INDEX(Other!G:G, MATCH(W34, Other!B:B,0)))</f>
        <v/>
      </c>
      <c r="AF34" s="42"/>
      <c r="AG34" s="299"/>
      <c r="AH34" s="301" t="str">
        <f t="array" ref="AH34">IF(W34="","", INDEX(Other!H:H, MATCH(W34, Other!B:B,0)))</f>
        <v/>
      </c>
      <c r="AI34" s="42"/>
      <c r="AJ34" s="42"/>
      <c r="AK34" s="299"/>
      <c r="AL34" s="301" t="str">
        <f t="shared" si="2"/>
        <v/>
      </c>
      <c r="AM34" s="42"/>
      <c r="AN34" s="42"/>
      <c r="AO34" s="44"/>
      <c r="AP34" s="114"/>
      <c r="AQ34" s="158"/>
      <c r="AR34" s="158"/>
      <c r="AS34" s="158"/>
      <c r="AT34" s="158"/>
      <c r="AU34" s="158"/>
      <c r="AV34" s="158"/>
      <c r="AW34" s="158"/>
      <c r="AX34" s="158"/>
      <c r="AY34" s="158"/>
      <c r="AZ34" s="158"/>
      <c r="BA34" s="86"/>
      <c r="BB34" s="83"/>
    </row>
    <row r="35">
      <c r="A35" s="101"/>
      <c r="B35" s="298"/>
      <c r="C35" s="42"/>
      <c r="D35" s="42"/>
      <c r="E35" s="42"/>
      <c r="F35" s="299"/>
      <c r="G35" s="300"/>
      <c r="H35" s="42"/>
      <c r="I35" s="299"/>
      <c r="J35" s="301" t="str">
        <f t="array" ref="J35">IF(B35="","", INDEX(Ingredients!G:G, MATCH(B35, Ingredients!B:B,0)))</f>
        <v/>
      </c>
      <c r="K35" s="42"/>
      <c r="L35" s="299"/>
      <c r="M35" s="301" t="str">
        <f t="array" ref="M35">IF(B35="","", INDEX(Ingredients!H:H, MATCH(B35, Ingredients!B:B,0)))</f>
        <v/>
      </c>
      <c r="N35" s="42"/>
      <c r="O35" s="42"/>
      <c r="P35" s="299"/>
      <c r="Q35" s="302" t="str">
        <f t="shared" si="1"/>
        <v/>
      </c>
      <c r="R35" s="42"/>
      <c r="S35" s="42"/>
      <c r="T35" s="44"/>
      <c r="U35" s="114"/>
      <c r="V35" s="101"/>
      <c r="W35" s="298"/>
      <c r="X35" s="42"/>
      <c r="Y35" s="42"/>
      <c r="Z35" s="42"/>
      <c r="AA35" s="299"/>
      <c r="AB35" s="300"/>
      <c r="AC35" s="42"/>
      <c r="AD35" s="299"/>
      <c r="AE35" s="301" t="str">
        <f t="array" ref="AE35">IF(W35="","", INDEX(Other!G:G, MATCH(W35, Other!B:B,0)))</f>
        <v/>
      </c>
      <c r="AF35" s="42"/>
      <c r="AG35" s="299"/>
      <c r="AH35" s="301" t="str">
        <f t="array" ref="AH35">IF(W35="","", INDEX(Other!H:H, MATCH(W35, Other!B:B,0)))</f>
        <v/>
      </c>
      <c r="AI35" s="42"/>
      <c r="AJ35" s="42"/>
      <c r="AK35" s="299"/>
      <c r="AL35" s="301" t="str">
        <f t="shared" si="2"/>
        <v/>
      </c>
      <c r="AM35" s="42"/>
      <c r="AN35" s="42"/>
      <c r="AO35" s="44"/>
      <c r="AP35" s="114"/>
      <c r="AQ35" s="83"/>
      <c r="AR35" s="83"/>
      <c r="AS35" s="83"/>
      <c r="AT35" s="83"/>
      <c r="AU35" s="83"/>
      <c r="AV35" s="83"/>
      <c r="AW35" s="83"/>
      <c r="AX35" s="83"/>
      <c r="AY35" s="83"/>
      <c r="AZ35" s="83"/>
      <c r="BA35" s="83"/>
      <c r="BB35" s="83"/>
    </row>
    <row r="36">
      <c r="A36" s="101"/>
      <c r="B36" s="298"/>
      <c r="C36" s="42"/>
      <c r="D36" s="42"/>
      <c r="E36" s="42"/>
      <c r="F36" s="299"/>
      <c r="G36" s="300"/>
      <c r="H36" s="42"/>
      <c r="I36" s="299"/>
      <c r="J36" s="301" t="str">
        <f t="array" ref="J36">IF(B36="","", INDEX(Ingredients!G:G, MATCH(B36, Ingredients!B:B,0)))</f>
        <v/>
      </c>
      <c r="K36" s="42"/>
      <c r="L36" s="299"/>
      <c r="M36" s="301" t="str">
        <f t="array" ref="M36">IF(B36="","", INDEX(Ingredients!H:H, MATCH(B36, Ingredients!B:B,0)))</f>
        <v/>
      </c>
      <c r="N36" s="42"/>
      <c r="O36" s="42"/>
      <c r="P36" s="299"/>
      <c r="Q36" s="302" t="str">
        <f t="shared" si="1"/>
        <v/>
      </c>
      <c r="R36" s="42"/>
      <c r="S36" s="42"/>
      <c r="T36" s="44"/>
      <c r="U36" s="114"/>
      <c r="V36" s="101"/>
      <c r="W36" s="298"/>
      <c r="X36" s="42"/>
      <c r="Y36" s="42"/>
      <c r="Z36" s="42"/>
      <c r="AA36" s="299"/>
      <c r="AB36" s="300"/>
      <c r="AC36" s="42"/>
      <c r="AD36" s="299"/>
      <c r="AE36" s="301" t="str">
        <f t="array" ref="AE36">IF(W36="","", INDEX(Other!G:G, MATCH(W36, Other!B:B,0)))</f>
        <v/>
      </c>
      <c r="AF36" s="42"/>
      <c r="AG36" s="299"/>
      <c r="AH36" s="301" t="str">
        <f t="array" ref="AH36">IF(W36="","", INDEX(Other!H:H, MATCH(W36, Other!B:B,0)))</f>
        <v/>
      </c>
      <c r="AI36" s="42"/>
      <c r="AJ36" s="42"/>
      <c r="AK36" s="299"/>
      <c r="AL36" s="301" t="str">
        <f t="shared" si="2"/>
        <v/>
      </c>
      <c r="AM36" s="42"/>
      <c r="AN36" s="42"/>
      <c r="AO36" s="44"/>
      <c r="AP36" s="114"/>
      <c r="AQ36" s="83"/>
      <c r="AR36" s="83"/>
      <c r="AS36" s="83"/>
      <c r="AT36" s="83"/>
      <c r="AU36" s="83"/>
      <c r="AV36" s="83"/>
      <c r="AW36" s="83"/>
      <c r="AX36" s="83"/>
      <c r="AY36" s="83"/>
      <c r="AZ36" s="83"/>
      <c r="BA36" s="83"/>
      <c r="BB36" s="83"/>
    </row>
    <row r="37">
      <c r="A37" s="101"/>
      <c r="B37" s="298"/>
      <c r="C37" s="42"/>
      <c r="D37" s="42"/>
      <c r="E37" s="42"/>
      <c r="F37" s="299"/>
      <c r="G37" s="300"/>
      <c r="H37" s="42"/>
      <c r="I37" s="299"/>
      <c r="J37" s="301" t="str">
        <f t="array" ref="J37">IF(B37="","", INDEX(Ingredients!G:G, MATCH(B37, Ingredients!B:B,0)))</f>
        <v/>
      </c>
      <c r="K37" s="42"/>
      <c r="L37" s="299"/>
      <c r="M37" s="301" t="str">
        <f t="array" ref="M37">IF(B37="","", INDEX(Ingredients!H:H, MATCH(B37, Ingredients!B:B,0)))</f>
        <v/>
      </c>
      <c r="N37" s="42"/>
      <c r="O37" s="42"/>
      <c r="P37" s="299"/>
      <c r="Q37" s="302" t="str">
        <f t="shared" si="1"/>
        <v/>
      </c>
      <c r="R37" s="42"/>
      <c r="S37" s="42"/>
      <c r="T37" s="44"/>
      <c r="U37" s="114"/>
      <c r="V37" s="101"/>
      <c r="W37" s="298"/>
      <c r="X37" s="42"/>
      <c r="Y37" s="42"/>
      <c r="Z37" s="42"/>
      <c r="AA37" s="299"/>
      <c r="AB37" s="300"/>
      <c r="AC37" s="42"/>
      <c r="AD37" s="299"/>
      <c r="AE37" s="301" t="str">
        <f t="array" ref="AE37">IF(W37="","", INDEX(Other!G:G, MATCH(W37, Other!B:B,0)))</f>
        <v/>
      </c>
      <c r="AF37" s="42"/>
      <c r="AG37" s="299"/>
      <c r="AH37" s="301" t="str">
        <f t="array" ref="AH37">IF(W37="","", INDEX(Other!H:H, MATCH(W37, Other!B:B,0)))</f>
        <v/>
      </c>
      <c r="AI37" s="42"/>
      <c r="AJ37" s="42"/>
      <c r="AK37" s="299"/>
      <c r="AL37" s="301" t="str">
        <f t="shared" si="2"/>
        <v/>
      </c>
      <c r="AM37" s="42"/>
      <c r="AN37" s="42"/>
      <c r="AO37" s="44"/>
      <c r="AP37" s="114"/>
      <c r="AQ37" s="83"/>
      <c r="AR37" s="83"/>
      <c r="AS37" s="83"/>
      <c r="AT37" s="83"/>
      <c r="AU37" s="83"/>
      <c r="AV37" s="83"/>
      <c r="AW37" s="83"/>
      <c r="AX37" s="83"/>
      <c r="AY37" s="83"/>
      <c r="AZ37" s="83"/>
      <c r="BA37" s="83"/>
      <c r="BB37" s="83"/>
    </row>
    <row r="38">
      <c r="A38" s="101"/>
      <c r="B38" s="298"/>
      <c r="C38" s="42"/>
      <c r="D38" s="42"/>
      <c r="E38" s="42"/>
      <c r="F38" s="299"/>
      <c r="G38" s="300"/>
      <c r="H38" s="42"/>
      <c r="I38" s="299"/>
      <c r="J38" s="301" t="str">
        <f t="array" ref="J38">IF(B38="","", INDEX(Ingredients!G:G, MATCH(B38, Ingredients!B:B,0)))</f>
        <v/>
      </c>
      <c r="K38" s="42"/>
      <c r="L38" s="299"/>
      <c r="M38" s="301" t="str">
        <f t="array" ref="M38">IF(B38="","", INDEX(Ingredients!H:H, MATCH(B38, Ingredients!B:B,0)))</f>
        <v/>
      </c>
      <c r="N38" s="42"/>
      <c r="O38" s="42"/>
      <c r="P38" s="299"/>
      <c r="Q38" s="302" t="str">
        <f t="shared" si="1"/>
        <v/>
      </c>
      <c r="R38" s="42"/>
      <c r="S38" s="42"/>
      <c r="T38" s="44"/>
      <c r="U38" s="304"/>
      <c r="V38" s="307"/>
      <c r="W38" s="298"/>
      <c r="X38" s="42"/>
      <c r="Y38" s="42"/>
      <c r="Z38" s="42"/>
      <c r="AA38" s="299"/>
      <c r="AB38" s="300"/>
      <c r="AC38" s="42"/>
      <c r="AD38" s="299"/>
      <c r="AE38" s="301" t="str">
        <f t="array" ref="AE38">IF(W38="","", INDEX(Other!G:G, MATCH(W38, Other!B:B,0)))</f>
        <v/>
      </c>
      <c r="AF38" s="42"/>
      <c r="AG38" s="299"/>
      <c r="AH38" s="301" t="str">
        <f t="array" ref="AH38">IF(W38="","", INDEX(Other!H:H, MATCH(W38, Other!B:B,0)))</f>
        <v/>
      </c>
      <c r="AI38" s="42"/>
      <c r="AJ38" s="42"/>
      <c r="AK38" s="299"/>
      <c r="AL38" s="301" t="str">
        <f t="shared" si="2"/>
        <v/>
      </c>
      <c r="AM38" s="42"/>
      <c r="AN38" s="42"/>
      <c r="AO38" s="44"/>
      <c r="AP38" s="114"/>
      <c r="AQ38" s="83"/>
      <c r="AR38" s="83"/>
      <c r="AS38" s="83"/>
      <c r="AT38" s="83"/>
      <c r="AU38" s="83"/>
      <c r="AV38" s="83"/>
      <c r="AW38" s="83"/>
      <c r="AX38" s="83"/>
      <c r="AY38" s="83"/>
      <c r="AZ38" s="83"/>
      <c r="BA38" s="83"/>
      <c r="BB38" s="83"/>
    </row>
    <row r="39">
      <c r="A39" s="101"/>
      <c r="B39" s="298"/>
      <c r="C39" s="42"/>
      <c r="D39" s="42"/>
      <c r="E39" s="42"/>
      <c r="F39" s="299"/>
      <c r="G39" s="300"/>
      <c r="H39" s="42"/>
      <c r="I39" s="299"/>
      <c r="J39" s="301" t="str">
        <f t="array" ref="J39">IF(B39="","", INDEX(Ingredients!G:G, MATCH(B39, Ingredients!B:B,0)))</f>
        <v/>
      </c>
      <c r="K39" s="42"/>
      <c r="L39" s="299"/>
      <c r="M39" s="301" t="str">
        <f t="array" ref="M39">IF(B39="","", INDEX(Ingredients!H:H, MATCH(B39, Ingredients!B:B,0)))</f>
        <v/>
      </c>
      <c r="N39" s="42"/>
      <c r="O39" s="42"/>
      <c r="P39" s="299"/>
      <c r="Q39" s="302" t="str">
        <f t="shared" si="1"/>
        <v/>
      </c>
      <c r="R39" s="42"/>
      <c r="S39" s="42"/>
      <c r="T39" s="44"/>
      <c r="U39" s="114"/>
      <c r="V39" s="101"/>
      <c r="W39" s="298"/>
      <c r="X39" s="42"/>
      <c r="Y39" s="42"/>
      <c r="Z39" s="42"/>
      <c r="AA39" s="299"/>
      <c r="AB39" s="300"/>
      <c r="AC39" s="42"/>
      <c r="AD39" s="299"/>
      <c r="AE39" s="301" t="str">
        <f t="array" ref="AE39">IF(W39="","", INDEX(Other!G:G, MATCH(W39, Other!B:B,0)))</f>
        <v/>
      </c>
      <c r="AF39" s="42"/>
      <c r="AG39" s="299"/>
      <c r="AH39" s="301" t="str">
        <f t="array" ref="AH39">IF(W39="","", INDEX(Other!H:H, MATCH(W39, Other!B:B,0)))</f>
        <v/>
      </c>
      <c r="AI39" s="42"/>
      <c r="AJ39" s="42"/>
      <c r="AK39" s="299"/>
      <c r="AL39" s="301" t="str">
        <f t="shared" si="2"/>
        <v/>
      </c>
      <c r="AM39" s="42"/>
      <c r="AN39" s="42"/>
      <c r="AO39" s="44"/>
      <c r="AP39" s="114"/>
      <c r="AQ39" s="83"/>
      <c r="AR39" s="83"/>
      <c r="AS39" s="83"/>
      <c r="AT39" s="83"/>
      <c r="AU39" s="83"/>
      <c r="AV39" s="83"/>
      <c r="AW39" s="83"/>
      <c r="AX39" s="83"/>
      <c r="AY39" s="83"/>
      <c r="AZ39" s="83"/>
      <c r="BA39" s="83"/>
      <c r="BB39" s="83"/>
    </row>
    <row r="40">
      <c r="A40" s="101"/>
      <c r="B40" s="298"/>
      <c r="C40" s="42"/>
      <c r="D40" s="42"/>
      <c r="E40" s="42"/>
      <c r="F40" s="299"/>
      <c r="G40" s="300"/>
      <c r="H40" s="42"/>
      <c r="I40" s="299"/>
      <c r="J40" s="301" t="str">
        <f t="array" ref="J40">IF(B40="","", INDEX(Ingredients!G:G, MATCH(B40, Ingredients!B:B,0)))</f>
        <v/>
      </c>
      <c r="K40" s="42"/>
      <c r="L40" s="299"/>
      <c r="M40" s="301" t="str">
        <f t="array" ref="M40">IF(B40="","", INDEX(Ingredients!H:H, MATCH(B40, Ingredients!B:B,0)))</f>
        <v/>
      </c>
      <c r="N40" s="42"/>
      <c r="O40" s="42"/>
      <c r="P40" s="299"/>
      <c r="Q40" s="302" t="str">
        <f t="shared" si="1"/>
        <v/>
      </c>
      <c r="R40" s="42"/>
      <c r="S40" s="42"/>
      <c r="T40" s="44"/>
      <c r="U40" s="114"/>
      <c r="V40" s="101"/>
      <c r="W40" s="298"/>
      <c r="X40" s="42"/>
      <c r="Y40" s="42"/>
      <c r="Z40" s="42"/>
      <c r="AA40" s="299"/>
      <c r="AB40" s="300"/>
      <c r="AC40" s="42"/>
      <c r="AD40" s="299"/>
      <c r="AE40" s="301" t="str">
        <f t="array" ref="AE40">IF(W40="","", INDEX(Other!G:G, MATCH(W40, Other!B:B,0)))</f>
        <v/>
      </c>
      <c r="AF40" s="42"/>
      <c r="AG40" s="299"/>
      <c r="AH40" s="301" t="str">
        <f t="array" ref="AH40">IF(W40="","", INDEX(Other!H:H, MATCH(W40, Other!B:B,0)))</f>
        <v/>
      </c>
      <c r="AI40" s="42"/>
      <c r="AJ40" s="42"/>
      <c r="AK40" s="299"/>
      <c r="AL40" s="301" t="str">
        <f t="shared" si="2"/>
        <v/>
      </c>
      <c r="AM40" s="42"/>
      <c r="AN40" s="42"/>
      <c r="AO40" s="44"/>
      <c r="AP40" s="114"/>
      <c r="AQ40" s="83"/>
      <c r="AR40" s="83"/>
      <c r="AS40" s="83"/>
      <c r="AT40" s="83"/>
      <c r="AU40" s="83"/>
      <c r="AV40" s="83"/>
      <c r="AW40" s="83"/>
      <c r="AX40" s="83"/>
      <c r="AY40" s="83"/>
      <c r="AZ40" s="83"/>
      <c r="BA40" s="83"/>
      <c r="BB40" s="83"/>
    </row>
    <row r="41">
      <c r="A41" s="101"/>
      <c r="B41" s="298"/>
      <c r="C41" s="42"/>
      <c r="D41" s="42"/>
      <c r="E41" s="42"/>
      <c r="F41" s="299"/>
      <c r="G41" s="300"/>
      <c r="H41" s="42"/>
      <c r="I41" s="299"/>
      <c r="J41" s="301" t="str">
        <f t="array" ref="J41">IF(B41="","", INDEX(Ingredients!G:G, MATCH(B41, Ingredients!B:B,0)))</f>
        <v/>
      </c>
      <c r="K41" s="42"/>
      <c r="L41" s="299"/>
      <c r="M41" s="301" t="str">
        <f t="array" ref="M41">IF(B41="","", INDEX(Ingredients!H:H, MATCH(B41, Ingredients!B:B,0)))</f>
        <v/>
      </c>
      <c r="N41" s="42"/>
      <c r="O41" s="42"/>
      <c r="P41" s="299"/>
      <c r="Q41" s="302" t="str">
        <f t="shared" si="1"/>
        <v/>
      </c>
      <c r="R41" s="42"/>
      <c r="S41" s="42"/>
      <c r="T41" s="44"/>
      <c r="U41" s="114"/>
      <c r="V41" s="101"/>
      <c r="W41" s="298"/>
      <c r="X41" s="42"/>
      <c r="Y41" s="42"/>
      <c r="Z41" s="42"/>
      <c r="AA41" s="299"/>
      <c r="AB41" s="300"/>
      <c r="AC41" s="42"/>
      <c r="AD41" s="299"/>
      <c r="AE41" s="301" t="str">
        <f t="array" ref="AE41">IF(W41="","", INDEX(Other!G:G, MATCH(W41, Other!B:B,0)))</f>
        <v/>
      </c>
      <c r="AF41" s="42"/>
      <c r="AG41" s="299"/>
      <c r="AH41" s="301" t="str">
        <f t="array" ref="AH41">IF(W41="","", INDEX(Other!H:H, MATCH(W41, Other!B:B,0)))</f>
        <v/>
      </c>
      <c r="AI41" s="42"/>
      <c r="AJ41" s="42"/>
      <c r="AK41" s="299"/>
      <c r="AL41" s="301" t="str">
        <f t="shared" si="2"/>
        <v/>
      </c>
      <c r="AM41" s="42"/>
      <c r="AN41" s="42"/>
      <c r="AO41" s="44"/>
      <c r="AP41" s="114"/>
      <c r="AQ41" s="83"/>
      <c r="AR41" s="83"/>
      <c r="AS41" s="83"/>
      <c r="AT41" s="83"/>
      <c r="AU41" s="83"/>
      <c r="AV41" s="83"/>
      <c r="AW41" s="83"/>
      <c r="AX41" s="83"/>
      <c r="AY41" s="83"/>
      <c r="AZ41" s="83"/>
      <c r="BA41" s="83"/>
      <c r="BB41" s="83"/>
    </row>
    <row r="42">
      <c r="A42" s="101"/>
      <c r="B42" s="298"/>
      <c r="C42" s="42"/>
      <c r="D42" s="42"/>
      <c r="E42" s="42"/>
      <c r="F42" s="299"/>
      <c r="G42" s="300"/>
      <c r="H42" s="42"/>
      <c r="I42" s="299"/>
      <c r="J42" s="301" t="str">
        <f t="array" ref="J42">IF(B42="","", INDEX(Ingredients!G:G, MATCH(B42, Ingredients!B:B,0)))</f>
        <v/>
      </c>
      <c r="K42" s="42"/>
      <c r="L42" s="299"/>
      <c r="M42" s="301" t="str">
        <f t="array" ref="M42">IF(B42="","", INDEX(Ingredients!H:H, MATCH(B42, Ingredients!B:B,0)))</f>
        <v/>
      </c>
      <c r="N42" s="42"/>
      <c r="O42" s="42"/>
      <c r="P42" s="299"/>
      <c r="Q42" s="302" t="str">
        <f t="shared" si="1"/>
        <v/>
      </c>
      <c r="R42" s="42"/>
      <c r="S42" s="42"/>
      <c r="T42" s="44"/>
      <c r="U42" s="114"/>
      <c r="V42" s="101"/>
      <c r="W42" s="298"/>
      <c r="X42" s="42"/>
      <c r="Y42" s="42"/>
      <c r="Z42" s="42"/>
      <c r="AA42" s="299"/>
      <c r="AB42" s="300"/>
      <c r="AC42" s="42"/>
      <c r="AD42" s="299"/>
      <c r="AE42" s="301" t="str">
        <f t="array" ref="AE42">IF(W42="","", INDEX(Other!G:G, MATCH(W42, Other!B:B,0)))</f>
        <v/>
      </c>
      <c r="AF42" s="42"/>
      <c r="AG42" s="299"/>
      <c r="AH42" s="301" t="str">
        <f t="array" ref="AH42">IF(W42="","", INDEX(Other!H:H, MATCH(W42, Other!B:B,0)))</f>
        <v/>
      </c>
      <c r="AI42" s="42"/>
      <c r="AJ42" s="42"/>
      <c r="AK42" s="299"/>
      <c r="AL42" s="301" t="str">
        <f t="shared" si="2"/>
        <v/>
      </c>
      <c r="AM42" s="42"/>
      <c r="AN42" s="42"/>
      <c r="AO42" s="44"/>
      <c r="AP42" s="114"/>
      <c r="AQ42" s="83"/>
      <c r="AR42" s="83"/>
      <c r="AS42" s="83"/>
      <c r="AT42" s="83"/>
      <c r="AU42" s="83"/>
      <c r="AV42" s="83"/>
      <c r="AW42" s="83"/>
      <c r="AX42" s="83"/>
      <c r="AY42" s="83"/>
      <c r="AZ42" s="83"/>
      <c r="BA42" s="83"/>
      <c r="BB42" s="83"/>
    </row>
    <row r="43">
      <c r="A43" s="101"/>
      <c r="B43" s="298"/>
      <c r="C43" s="42"/>
      <c r="D43" s="42"/>
      <c r="E43" s="42"/>
      <c r="F43" s="299"/>
      <c r="G43" s="300"/>
      <c r="H43" s="42"/>
      <c r="I43" s="299"/>
      <c r="J43" s="301" t="str">
        <f t="array" ref="J43">IF(B43="","", INDEX(Ingredients!G:G, MATCH(B43, Ingredients!B:B,0)))</f>
        <v/>
      </c>
      <c r="K43" s="42"/>
      <c r="L43" s="299"/>
      <c r="M43" s="301" t="str">
        <f t="array" ref="M43">IF(B43="","", INDEX(Ingredients!H:H, MATCH(B43, Ingredients!B:B,0)))</f>
        <v/>
      </c>
      <c r="N43" s="42"/>
      <c r="O43" s="42"/>
      <c r="P43" s="299"/>
      <c r="Q43" s="302" t="str">
        <f t="shared" si="1"/>
        <v/>
      </c>
      <c r="R43" s="42"/>
      <c r="S43" s="42"/>
      <c r="T43" s="44"/>
      <c r="U43" s="114"/>
      <c r="V43" s="101"/>
      <c r="W43" s="298"/>
      <c r="X43" s="42"/>
      <c r="Y43" s="42"/>
      <c r="Z43" s="42"/>
      <c r="AA43" s="299"/>
      <c r="AB43" s="300"/>
      <c r="AC43" s="42"/>
      <c r="AD43" s="299"/>
      <c r="AE43" s="301" t="str">
        <f t="array" ref="AE43">IF(W43="","", INDEX(Other!G:G, MATCH(W43, Other!B:B,0)))</f>
        <v/>
      </c>
      <c r="AF43" s="42"/>
      <c r="AG43" s="299"/>
      <c r="AH43" s="301" t="str">
        <f t="array" ref="AH43">IF(W43="","", INDEX(Other!H:H, MATCH(W43, Other!B:B,0)))</f>
        <v/>
      </c>
      <c r="AI43" s="42"/>
      <c r="AJ43" s="42"/>
      <c r="AK43" s="299"/>
      <c r="AL43" s="301" t="str">
        <f t="shared" si="2"/>
        <v/>
      </c>
      <c r="AM43" s="42"/>
      <c r="AN43" s="42"/>
      <c r="AO43" s="44"/>
      <c r="AP43" s="114"/>
      <c r="AQ43" s="83"/>
      <c r="AR43" s="83"/>
      <c r="AS43" s="83"/>
      <c r="AT43" s="83"/>
      <c r="AU43" s="83"/>
      <c r="AV43" s="83"/>
      <c r="AW43" s="83"/>
      <c r="AX43" s="83"/>
      <c r="AY43" s="83"/>
      <c r="AZ43" s="83"/>
      <c r="BA43" s="83"/>
      <c r="BB43" s="83"/>
    </row>
    <row r="44">
      <c r="A44" s="101"/>
      <c r="B44" s="298"/>
      <c r="C44" s="42"/>
      <c r="D44" s="42"/>
      <c r="E44" s="42"/>
      <c r="F44" s="299"/>
      <c r="G44" s="300"/>
      <c r="H44" s="42"/>
      <c r="I44" s="299"/>
      <c r="J44" s="301" t="str">
        <f t="array" ref="J44">IF(B44="","", INDEX(Ingredients!G:G, MATCH(B44, Ingredients!B:B,0)))</f>
        <v/>
      </c>
      <c r="K44" s="42"/>
      <c r="L44" s="299"/>
      <c r="M44" s="301" t="str">
        <f t="array" ref="M44">IF(B44="","", INDEX(Ingredients!H:H, MATCH(B44, Ingredients!B:B,0)))</f>
        <v/>
      </c>
      <c r="N44" s="42"/>
      <c r="O44" s="42"/>
      <c r="P44" s="299"/>
      <c r="Q44" s="302" t="str">
        <f t="shared" si="1"/>
        <v/>
      </c>
      <c r="R44" s="42"/>
      <c r="S44" s="42"/>
      <c r="T44" s="44"/>
      <c r="U44" s="114"/>
      <c r="V44" s="101"/>
      <c r="W44" s="298"/>
      <c r="X44" s="42"/>
      <c r="Y44" s="42"/>
      <c r="Z44" s="42"/>
      <c r="AA44" s="299"/>
      <c r="AB44" s="300"/>
      <c r="AC44" s="42"/>
      <c r="AD44" s="299"/>
      <c r="AE44" s="301" t="str">
        <f t="array" ref="AE44">IF(W44="","", INDEX(Other!G:G, MATCH(W44, Other!B:B,0)))</f>
        <v/>
      </c>
      <c r="AF44" s="42"/>
      <c r="AG44" s="299"/>
      <c r="AH44" s="301" t="str">
        <f t="array" ref="AH44">IF(W44="","", INDEX(Other!H:H, MATCH(W44, Other!B:B,0)))</f>
        <v/>
      </c>
      <c r="AI44" s="42"/>
      <c r="AJ44" s="42"/>
      <c r="AK44" s="299"/>
      <c r="AL44" s="301" t="str">
        <f t="shared" si="2"/>
        <v/>
      </c>
      <c r="AM44" s="42"/>
      <c r="AN44" s="42"/>
      <c r="AO44" s="44"/>
      <c r="AP44" s="114"/>
      <c r="AQ44" s="83"/>
      <c r="AR44" s="83"/>
      <c r="AS44" s="83"/>
      <c r="AT44" s="83"/>
      <c r="AU44" s="83"/>
      <c r="AV44" s="83"/>
      <c r="AW44" s="83"/>
      <c r="AX44" s="83"/>
      <c r="AY44" s="83"/>
      <c r="AZ44" s="83"/>
      <c r="BA44" s="83"/>
      <c r="BB44" s="83"/>
    </row>
    <row r="45">
      <c r="A45" s="101"/>
      <c r="B45" s="298"/>
      <c r="C45" s="42"/>
      <c r="D45" s="42"/>
      <c r="E45" s="42"/>
      <c r="F45" s="299"/>
      <c r="G45" s="300"/>
      <c r="H45" s="42"/>
      <c r="I45" s="299"/>
      <c r="J45" s="301" t="str">
        <f t="array" ref="J45">IF(B45="","", INDEX(Ingredients!G:G, MATCH(B45, Ingredients!B:B,0)))</f>
        <v/>
      </c>
      <c r="K45" s="42"/>
      <c r="L45" s="299"/>
      <c r="M45" s="301" t="str">
        <f t="array" ref="M45">IF(B45="","", INDEX(Ingredients!H:H, MATCH(B45, Ingredients!B:B,0)))</f>
        <v/>
      </c>
      <c r="N45" s="42"/>
      <c r="O45" s="42"/>
      <c r="P45" s="299"/>
      <c r="Q45" s="302" t="str">
        <f t="shared" si="1"/>
        <v/>
      </c>
      <c r="R45" s="42"/>
      <c r="S45" s="42"/>
      <c r="T45" s="44"/>
      <c r="U45" s="114"/>
      <c r="V45" s="101"/>
      <c r="W45" s="298"/>
      <c r="X45" s="42"/>
      <c r="Y45" s="42"/>
      <c r="Z45" s="42"/>
      <c r="AA45" s="299"/>
      <c r="AB45" s="300"/>
      <c r="AC45" s="42"/>
      <c r="AD45" s="299"/>
      <c r="AE45" s="301" t="str">
        <f t="array" ref="AE45">IF(W45="","", INDEX(Other!G:G, MATCH(W45, Other!B:B,0)))</f>
        <v/>
      </c>
      <c r="AF45" s="42"/>
      <c r="AG45" s="299"/>
      <c r="AH45" s="301" t="str">
        <f t="array" ref="AH45">IF(W45="","", INDEX(Other!H:H, MATCH(W45, Other!B:B,0)))</f>
        <v/>
      </c>
      <c r="AI45" s="42"/>
      <c r="AJ45" s="42"/>
      <c r="AK45" s="299"/>
      <c r="AL45" s="301" t="str">
        <f t="shared" si="2"/>
        <v/>
      </c>
      <c r="AM45" s="42"/>
      <c r="AN45" s="42"/>
      <c r="AO45" s="44"/>
      <c r="AP45" s="114"/>
      <c r="AQ45" s="83"/>
      <c r="AR45" s="83"/>
      <c r="AS45" s="83"/>
      <c r="AT45" s="83"/>
      <c r="AU45" s="83"/>
      <c r="AV45" s="83"/>
      <c r="AW45" s="83"/>
      <c r="AX45" s="83"/>
      <c r="AY45" s="83"/>
      <c r="AZ45" s="83"/>
      <c r="BA45" s="83"/>
      <c r="BB45" s="83"/>
    </row>
    <row r="46">
      <c r="A46" s="101"/>
      <c r="B46" s="298"/>
      <c r="C46" s="42"/>
      <c r="D46" s="42"/>
      <c r="E46" s="42"/>
      <c r="F46" s="299"/>
      <c r="G46" s="300"/>
      <c r="H46" s="42"/>
      <c r="I46" s="299"/>
      <c r="J46" s="301" t="str">
        <f t="array" ref="J46">IF(B46="","", INDEX(Ingredients!G:G, MATCH(B46, Ingredients!B:B,0)))</f>
        <v/>
      </c>
      <c r="K46" s="42"/>
      <c r="L46" s="299"/>
      <c r="M46" s="301" t="str">
        <f t="array" ref="M46">IF(B46="","", INDEX(Ingredients!H:H, MATCH(B46, Ingredients!B:B,0)))</f>
        <v/>
      </c>
      <c r="N46" s="42"/>
      <c r="O46" s="42"/>
      <c r="P46" s="299"/>
      <c r="Q46" s="302" t="str">
        <f t="shared" si="1"/>
        <v/>
      </c>
      <c r="R46" s="42"/>
      <c r="S46" s="42"/>
      <c r="T46" s="44"/>
      <c r="U46" s="114"/>
      <c r="V46" s="101"/>
      <c r="W46" s="298"/>
      <c r="X46" s="42"/>
      <c r="Y46" s="42"/>
      <c r="Z46" s="42"/>
      <c r="AA46" s="299"/>
      <c r="AB46" s="300"/>
      <c r="AC46" s="42"/>
      <c r="AD46" s="299"/>
      <c r="AE46" s="301" t="str">
        <f t="array" ref="AE46">IF(W46="","", INDEX(Other!G:G, MATCH(W46, Other!B:B,0)))</f>
        <v/>
      </c>
      <c r="AF46" s="42"/>
      <c r="AG46" s="299"/>
      <c r="AH46" s="301" t="str">
        <f t="array" ref="AH46">IF(W46="","", INDEX(Other!H:H, MATCH(W46, Other!B:B,0)))</f>
        <v/>
      </c>
      <c r="AI46" s="42"/>
      <c r="AJ46" s="42"/>
      <c r="AK46" s="299"/>
      <c r="AL46" s="301" t="str">
        <f t="shared" si="2"/>
        <v/>
      </c>
      <c r="AM46" s="42"/>
      <c r="AN46" s="42"/>
      <c r="AO46" s="44"/>
      <c r="AP46" s="114"/>
      <c r="AQ46" s="83"/>
      <c r="AR46" s="83"/>
      <c r="AS46" s="83"/>
      <c r="AT46" s="83"/>
      <c r="AU46" s="83"/>
      <c r="AV46" s="83"/>
      <c r="AW46" s="83"/>
      <c r="AX46" s="83"/>
      <c r="AY46" s="83"/>
      <c r="AZ46" s="83"/>
      <c r="BA46" s="83"/>
      <c r="BB46" s="83"/>
    </row>
    <row r="47">
      <c r="A47" s="101"/>
      <c r="B47" s="298"/>
      <c r="C47" s="42"/>
      <c r="D47" s="42"/>
      <c r="E47" s="42"/>
      <c r="F47" s="299"/>
      <c r="G47" s="300"/>
      <c r="H47" s="42"/>
      <c r="I47" s="299"/>
      <c r="J47" s="301" t="str">
        <f t="array" ref="J47">IF(B47="","", INDEX(Ingredients!G:G, MATCH(B47, Ingredients!B:B,0)))</f>
        <v/>
      </c>
      <c r="K47" s="42"/>
      <c r="L47" s="299"/>
      <c r="M47" s="301" t="str">
        <f t="array" ref="M47">IF(B47="","", INDEX(Ingredients!H:H, MATCH(B47, Ingredients!B:B,0)))</f>
        <v/>
      </c>
      <c r="N47" s="42"/>
      <c r="O47" s="42"/>
      <c r="P47" s="299"/>
      <c r="Q47" s="302" t="str">
        <f t="shared" si="1"/>
        <v/>
      </c>
      <c r="R47" s="42"/>
      <c r="S47" s="42"/>
      <c r="T47" s="44"/>
      <c r="U47" s="114"/>
      <c r="V47" s="101"/>
      <c r="W47" s="298"/>
      <c r="X47" s="42"/>
      <c r="Y47" s="42"/>
      <c r="Z47" s="42"/>
      <c r="AA47" s="299"/>
      <c r="AB47" s="300"/>
      <c r="AC47" s="42"/>
      <c r="AD47" s="299"/>
      <c r="AE47" s="301" t="str">
        <f t="array" ref="AE47">IF(W47="","", INDEX(Other!G:G, MATCH(W47, Other!B:B,0)))</f>
        <v/>
      </c>
      <c r="AF47" s="42"/>
      <c r="AG47" s="299"/>
      <c r="AH47" s="301" t="str">
        <f t="array" ref="AH47">IF(W47="","", INDEX(Other!H:H, MATCH(W47, Other!B:B,0)))</f>
        <v/>
      </c>
      <c r="AI47" s="42"/>
      <c r="AJ47" s="42"/>
      <c r="AK47" s="299"/>
      <c r="AL47" s="301" t="str">
        <f t="shared" si="2"/>
        <v/>
      </c>
      <c r="AM47" s="42"/>
      <c r="AN47" s="42"/>
      <c r="AO47" s="44"/>
      <c r="AP47" s="114"/>
      <c r="AQ47" s="83"/>
      <c r="AR47" s="83"/>
      <c r="AS47" s="83"/>
      <c r="AT47" s="83"/>
      <c r="AU47" s="83"/>
      <c r="AV47" s="83"/>
      <c r="AW47" s="83"/>
      <c r="AX47" s="83"/>
      <c r="AY47" s="83"/>
      <c r="AZ47" s="83"/>
      <c r="BA47" s="83"/>
      <c r="BB47" s="83"/>
    </row>
    <row r="48">
      <c r="A48" s="101"/>
      <c r="B48" s="298"/>
      <c r="C48" s="42"/>
      <c r="D48" s="42"/>
      <c r="E48" s="42"/>
      <c r="F48" s="299"/>
      <c r="G48" s="300"/>
      <c r="H48" s="42"/>
      <c r="I48" s="299"/>
      <c r="J48" s="301" t="str">
        <f t="array" ref="J48">IF(B48="","", INDEX(Ingredients!G:G, MATCH(B48, Ingredients!B:B,0)))</f>
        <v/>
      </c>
      <c r="K48" s="42"/>
      <c r="L48" s="299"/>
      <c r="M48" s="301" t="str">
        <f t="array" ref="M48">IF(B48="","", INDEX(Ingredients!H:H, MATCH(B48, Ingredients!B:B,0)))</f>
        <v/>
      </c>
      <c r="N48" s="42"/>
      <c r="O48" s="42"/>
      <c r="P48" s="299"/>
      <c r="Q48" s="302" t="str">
        <f t="shared" si="1"/>
        <v/>
      </c>
      <c r="R48" s="42"/>
      <c r="S48" s="42"/>
      <c r="T48" s="44"/>
      <c r="U48" s="114"/>
      <c r="V48" s="101"/>
      <c r="W48" s="298"/>
      <c r="X48" s="42"/>
      <c r="Y48" s="42"/>
      <c r="Z48" s="42"/>
      <c r="AA48" s="299"/>
      <c r="AB48" s="300"/>
      <c r="AC48" s="42"/>
      <c r="AD48" s="299"/>
      <c r="AE48" s="301" t="str">
        <f t="array" ref="AE48">IF(W48="","", INDEX(Other!G:G, MATCH(W48, Other!B:B,0)))</f>
        <v/>
      </c>
      <c r="AF48" s="42"/>
      <c r="AG48" s="299"/>
      <c r="AH48" s="301" t="str">
        <f t="array" ref="AH48">IF(W48="","", INDEX(Other!H:H, MATCH(W48, Other!B:B,0)))</f>
        <v/>
      </c>
      <c r="AI48" s="42"/>
      <c r="AJ48" s="42"/>
      <c r="AK48" s="299"/>
      <c r="AL48" s="301" t="str">
        <f t="shared" si="2"/>
        <v/>
      </c>
      <c r="AM48" s="42"/>
      <c r="AN48" s="42"/>
      <c r="AO48" s="44"/>
      <c r="AP48" s="114"/>
      <c r="AQ48" s="83"/>
      <c r="AR48" s="83"/>
      <c r="AS48" s="83"/>
      <c r="AT48" s="83"/>
      <c r="AU48" s="83"/>
      <c r="AV48" s="83"/>
      <c r="AW48" s="83"/>
      <c r="AX48" s="83"/>
      <c r="AY48" s="83"/>
      <c r="AZ48" s="83"/>
      <c r="BA48" s="83"/>
      <c r="BB48" s="83"/>
    </row>
    <row r="49">
      <c r="A49" s="101"/>
      <c r="B49" s="298"/>
      <c r="C49" s="42"/>
      <c r="D49" s="42"/>
      <c r="E49" s="42"/>
      <c r="F49" s="299"/>
      <c r="G49" s="300"/>
      <c r="H49" s="42"/>
      <c r="I49" s="299"/>
      <c r="J49" s="301" t="str">
        <f t="array" ref="J49">IF(B49="","", INDEX(Ingredients!G:G, MATCH(B49, Ingredients!B:B,0)))</f>
        <v/>
      </c>
      <c r="K49" s="42"/>
      <c r="L49" s="299"/>
      <c r="M49" s="301" t="str">
        <f t="array" ref="M49">IF(B49="","", INDEX(Ingredients!H:H, MATCH(B49, Ingredients!B:B,0)))</f>
        <v/>
      </c>
      <c r="N49" s="42"/>
      <c r="O49" s="42"/>
      <c r="P49" s="299"/>
      <c r="Q49" s="302" t="str">
        <f t="shared" si="1"/>
        <v/>
      </c>
      <c r="R49" s="42"/>
      <c r="S49" s="42"/>
      <c r="T49" s="44"/>
      <c r="U49" s="114"/>
      <c r="V49" s="101"/>
      <c r="W49" s="298"/>
      <c r="X49" s="42"/>
      <c r="Y49" s="42"/>
      <c r="Z49" s="42"/>
      <c r="AA49" s="299"/>
      <c r="AB49" s="300"/>
      <c r="AC49" s="42"/>
      <c r="AD49" s="299"/>
      <c r="AE49" s="301" t="str">
        <f t="array" ref="AE49">IF(W49="","", INDEX(Other!G:G, MATCH(W49, Other!B:B,0)))</f>
        <v/>
      </c>
      <c r="AF49" s="42"/>
      <c r="AG49" s="299"/>
      <c r="AH49" s="301" t="str">
        <f t="array" ref="AH49">IF(W49="","", INDEX(Other!H:H, MATCH(W49, Other!B:B,0)))</f>
        <v/>
      </c>
      <c r="AI49" s="42"/>
      <c r="AJ49" s="42"/>
      <c r="AK49" s="299"/>
      <c r="AL49" s="301" t="str">
        <f t="shared" si="2"/>
        <v/>
      </c>
      <c r="AM49" s="42"/>
      <c r="AN49" s="42"/>
      <c r="AO49" s="44"/>
      <c r="AP49" s="114"/>
      <c r="AQ49" s="83"/>
      <c r="AR49" s="83"/>
      <c r="AS49" s="83"/>
      <c r="AT49" s="83"/>
      <c r="AU49" s="83"/>
      <c r="AV49" s="83"/>
      <c r="AW49" s="83"/>
      <c r="AX49" s="83"/>
      <c r="AY49" s="83"/>
      <c r="AZ49" s="83"/>
      <c r="BA49" s="83"/>
      <c r="BB49" s="83"/>
    </row>
    <row r="50">
      <c r="A50" s="101"/>
      <c r="B50" s="298"/>
      <c r="C50" s="42"/>
      <c r="D50" s="42"/>
      <c r="E50" s="42"/>
      <c r="F50" s="299"/>
      <c r="G50" s="300"/>
      <c r="H50" s="42"/>
      <c r="I50" s="299"/>
      <c r="J50" s="301" t="str">
        <f t="array" ref="J50">IF(B50="","", INDEX(Ingredients!G:G, MATCH(B50, Ingredients!B:B,0)))</f>
        <v/>
      </c>
      <c r="K50" s="42"/>
      <c r="L50" s="299"/>
      <c r="M50" s="301" t="str">
        <f t="array" ref="M50">IF(B50="","", INDEX(Ingredients!H:H, MATCH(B50, Ingredients!B:B,0)))</f>
        <v/>
      </c>
      <c r="N50" s="42"/>
      <c r="O50" s="42"/>
      <c r="P50" s="299"/>
      <c r="Q50" s="302" t="str">
        <f t="shared" si="1"/>
        <v/>
      </c>
      <c r="R50" s="42"/>
      <c r="S50" s="42"/>
      <c r="T50" s="44"/>
      <c r="U50" s="114"/>
      <c r="V50" s="101"/>
      <c r="W50" s="298"/>
      <c r="X50" s="42"/>
      <c r="Y50" s="42"/>
      <c r="Z50" s="42"/>
      <c r="AA50" s="299"/>
      <c r="AB50" s="300"/>
      <c r="AC50" s="42"/>
      <c r="AD50" s="299"/>
      <c r="AE50" s="301" t="str">
        <f t="array" ref="AE50">IF(W50="","", INDEX(Other!G:G, MATCH(W50, Other!B:B,0)))</f>
        <v/>
      </c>
      <c r="AF50" s="42"/>
      <c r="AG50" s="299"/>
      <c r="AH50" s="301" t="str">
        <f t="array" ref="AH50">IF(W50="","", INDEX(Other!H:H, MATCH(W50, Other!B:B,0)))</f>
        <v/>
      </c>
      <c r="AI50" s="42"/>
      <c r="AJ50" s="42"/>
      <c r="AK50" s="299"/>
      <c r="AL50" s="301" t="str">
        <f t="shared" si="2"/>
        <v/>
      </c>
      <c r="AM50" s="42"/>
      <c r="AN50" s="42"/>
      <c r="AO50" s="44"/>
      <c r="AP50" s="114"/>
      <c r="AQ50" s="83"/>
      <c r="AR50" s="83"/>
      <c r="AS50" s="83"/>
      <c r="AT50" s="83"/>
      <c r="AU50" s="83"/>
      <c r="AV50" s="83"/>
      <c r="AW50" s="83"/>
      <c r="AX50" s="83"/>
      <c r="AY50" s="83"/>
      <c r="AZ50" s="83"/>
      <c r="BA50" s="83"/>
      <c r="BB50" s="83"/>
    </row>
    <row r="51">
      <c r="A51" s="101"/>
      <c r="B51" s="298"/>
      <c r="C51" s="42"/>
      <c r="D51" s="42"/>
      <c r="E51" s="42"/>
      <c r="F51" s="299"/>
      <c r="G51" s="300"/>
      <c r="H51" s="42"/>
      <c r="I51" s="299"/>
      <c r="J51" s="301" t="str">
        <f t="array" ref="J51">IF(B51="","", INDEX(Ingredients!G:G, MATCH(B51, Ingredients!B:B,0)))</f>
        <v/>
      </c>
      <c r="K51" s="42"/>
      <c r="L51" s="299"/>
      <c r="M51" s="301" t="str">
        <f t="array" ref="M51">IF(B51="","", INDEX(Ingredients!H:H, MATCH(B51, Ingredients!B:B,0)))</f>
        <v/>
      </c>
      <c r="N51" s="42"/>
      <c r="O51" s="42"/>
      <c r="P51" s="299"/>
      <c r="Q51" s="302" t="str">
        <f t="shared" si="1"/>
        <v/>
      </c>
      <c r="R51" s="42"/>
      <c r="S51" s="42"/>
      <c r="T51" s="44"/>
      <c r="U51" s="114"/>
      <c r="V51" s="101"/>
      <c r="W51" s="298"/>
      <c r="X51" s="42"/>
      <c r="Y51" s="42"/>
      <c r="Z51" s="42"/>
      <c r="AA51" s="299"/>
      <c r="AB51" s="300"/>
      <c r="AC51" s="42"/>
      <c r="AD51" s="299"/>
      <c r="AE51" s="301" t="str">
        <f t="array" ref="AE51">IF(W51="","", INDEX(Other!G:G, MATCH(W51, Other!B:B,0)))</f>
        <v/>
      </c>
      <c r="AF51" s="42"/>
      <c r="AG51" s="299"/>
      <c r="AH51" s="301" t="str">
        <f t="array" ref="AH51">IF(W51="","", INDEX(Other!H:H, MATCH(W51, Other!B:B,0)))</f>
        <v/>
      </c>
      <c r="AI51" s="42"/>
      <c r="AJ51" s="42"/>
      <c r="AK51" s="299"/>
      <c r="AL51" s="301" t="str">
        <f t="shared" si="2"/>
        <v/>
      </c>
      <c r="AM51" s="42"/>
      <c r="AN51" s="42"/>
      <c r="AO51" s="44"/>
      <c r="AP51" s="114"/>
      <c r="AQ51" s="83"/>
      <c r="AR51" s="83"/>
      <c r="AS51" s="83"/>
      <c r="AT51" s="83"/>
      <c r="AU51" s="83"/>
      <c r="AV51" s="83"/>
      <c r="AW51" s="83"/>
      <c r="AX51" s="83"/>
      <c r="AY51" s="83"/>
      <c r="AZ51" s="83"/>
      <c r="BA51" s="83"/>
      <c r="BB51" s="83"/>
    </row>
    <row r="52">
      <c r="A52" s="101"/>
      <c r="B52" s="298"/>
      <c r="C52" s="42"/>
      <c r="D52" s="42"/>
      <c r="E52" s="42"/>
      <c r="F52" s="299"/>
      <c r="G52" s="300"/>
      <c r="H52" s="42"/>
      <c r="I52" s="299"/>
      <c r="J52" s="301" t="str">
        <f t="array" ref="J52">IF(B52="","", INDEX(Ingredients!G:G, MATCH(B52, Ingredients!B:B,0)))</f>
        <v/>
      </c>
      <c r="K52" s="42"/>
      <c r="L52" s="299"/>
      <c r="M52" s="301" t="str">
        <f t="array" ref="M52">IF(B52="","", INDEX(Ingredients!H:H, MATCH(B52, Ingredients!B:B,0)))</f>
        <v/>
      </c>
      <c r="N52" s="42"/>
      <c r="O52" s="42"/>
      <c r="P52" s="299"/>
      <c r="Q52" s="302" t="str">
        <f t="shared" si="1"/>
        <v/>
      </c>
      <c r="R52" s="42"/>
      <c r="S52" s="42"/>
      <c r="T52" s="44"/>
      <c r="U52" s="114"/>
      <c r="V52" s="101"/>
      <c r="W52" s="298"/>
      <c r="X52" s="42"/>
      <c r="Y52" s="42"/>
      <c r="Z52" s="42"/>
      <c r="AA52" s="299"/>
      <c r="AB52" s="300"/>
      <c r="AC52" s="42"/>
      <c r="AD52" s="299"/>
      <c r="AE52" s="301" t="str">
        <f t="array" ref="AE52">IF(W52="","", INDEX(Other!G:G, MATCH(W52, Other!B:B,0)))</f>
        <v/>
      </c>
      <c r="AF52" s="42"/>
      <c r="AG52" s="299"/>
      <c r="AH52" s="301" t="str">
        <f t="array" ref="AH52">IF(W52="","", INDEX(Other!H:H, MATCH(W52, Other!B:B,0)))</f>
        <v/>
      </c>
      <c r="AI52" s="42"/>
      <c r="AJ52" s="42"/>
      <c r="AK52" s="299"/>
      <c r="AL52" s="301" t="str">
        <f t="shared" si="2"/>
        <v/>
      </c>
      <c r="AM52" s="42"/>
      <c r="AN52" s="42"/>
      <c r="AO52" s="44"/>
      <c r="AP52" s="114"/>
      <c r="AQ52" s="83"/>
      <c r="AR52" s="83"/>
      <c r="AS52" s="83"/>
      <c r="AT52" s="83"/>
      <c r="AU52" s="83"/>
      <c r="AV52" s="83"/>
      <c r="AW52" s="83"/>
      <c r="AX52" s="83"/>
      <c r="AY52" s="83"/>
      <c r="AZ52" s="83"/>
      <c r="BA52" s="83"/>
      <c r="BB52" s="83"/>
    </row>
    <row r="53">
      <c r="A53" s="101"/>
      <c r="B53" s="298"/>
      <c r="C53" s="42"/>
      <c r="D53" s="42"/>
      <c r="E53" s="42"/>
      <c r="F53" s="299"/>
      <c r="G53" s="300"/>
      <c r="H53" s="42"/>
      <c r="I53" s="299"/>
      <c r="J53" s="301" t="str">
        <f t="array" ref="J53">IF(B53="","", INDEX(Ingredients!G:G, MATCH(B53, Ingredients!B:B,0)))</f>
        <v/>
      </c>
      <c r="K53" s="42"/>
      <c r="L53" s="299"/>
      <c r="M53" s="301" t="str">
        <f t="array" ref="M53">IF(B53="","", INDEX(Ingredients!H:H, MATCH(B53, Ingredients!B:B,0)))</f>
        <v/>
      </c>
      <c r="N53" s="42"/>
      <c r="O53" s="42"/>
      <c r="P53" s="299"/>
      <c r="Q53" s="302" t="str">
        <f t="shared" si="1"/>
        <v/>
      </c>
      <c r="R53" s="42"/>
      <c r="S53" s="42"/>
      <c r="T53" s="44"/>
      <c r="U53" s="114"/>
      <c r="V53" s="101"/>
      <c r="W53" s="298"/>
      <c r="X53" s="42"/>
      <c r="Y53" s="42"/>
      <c r="Z53" s="42"/>
      <c r="AA53" s="299"/>
      <c r="AB53" s="300"/>
      <c r="AC53" s="42"/>
      <c r="AD53" s="299"/>
      <c r="AE53" s="301" t="str">
        <f t="array" ref="AE53">IF(W53="","", INDEX(Other!G:G, MATCH(W53, Other!B:B,0)))</f>
        <v/>
      </c>
      <c r="AF53" s="42"/>
      <c r="AG53" s="299"/>
      <c r="AH53" s="301" t="str">
        <f t="array" ref="AH53">IF(W53="","", INDEX(Other!H:H, MATCH(W53, Other!B:B,0)))</f>
        <v/>
      </c>
      <c r="AI53" s="42"/>
      <c r="AJ53" s="42"/>
      <c r="AK53" s="299"/>
      <c r="AL53" s="301" t="str">
        <f t="shared" si="2"/>
        <v/>
      </c>
      <c r="AM53" s="42"/>
      <c r="AN53" s="42"/>
      <c r="AO53" s="44"/>
      <c r="AP53" s="114"/>
      <c r="AQ53" s="83"/>
      <c r="AR53" s="83"/>
      <c r="AS53" s="83"/>
      <c r="AT53" s="83"/>
      <c r="AU53" s="83"/>
      <c r="AV53" s="83"/>
      <c r="AW53" s="83"/>
      <c r="AX53" s="83"/>
      <c r="AY53" s="83"/>
      <c r="AZ53" s="83"/>
      <c r="BA53" s="83"/>
      <c r="BB53" s="83"/>
    </row>
    <row r="54">
      <c r="A54" s="101"/>
      <c r="B54" s="298"/>
      <c r="C54" s="42"/>
      <c r="D54" s="42"/>
      <c r="E54" s="42"/>
      <c r="F54" s="299"/>
      <c r="G54" s="300"/>
      <c r="H54" s="42"/>
      <c r="I54" s="299"/>
      <c r="J54" s="301" t="str">
        <f t="array" ref="J54">IF(B54="","", INDEX(Ingredients!G:G, MATCH(B54, Ingredients!B:B,0)))</f>
        <v/>
      </c>
      <c r="K54" s="42"/>
      <c r="L54" s="299"/>
      <c r="M54" s="301" t="str">
        <f t="array" ref="M54">IF(B54="","", INDEX(Ingredients!H:H, MATCH(B54, Ingredients!B:B,0)))</f>
        <v/>
      </c>
      <c r="N54" s="42"/>
      <c r="O54" s="42"/>
      <c r="P54" s="299"/>
      <c r="Q54" s="302" t="str">
        <f t="shared" si="1"/>
        <v/>
      </c>
      <c r="R54" s="42"/>
      <c r="S54" s="42"/>
      <c r="T54" s="44"/>
      <c r="U54" s="114"/>
      <c r="V54" s="101"/>
      <c r="W54" s="298"/>
      <c r="X54" s="42"/>
      <c r="Y54" s="42"/>
      <c r="Z54" s="42"/>
      <c r="AA54" s="299"/>
      <c r="AB54" s="300"/>
      <c r="AC54" s="42"/>
      <c r="AD54" s="299"/>
      <c r="AE54" s="301" t="str">
        <f t="array" ref="AE54">IF(W54="","", INDEX(Other!G:G, MATCH(W54, Other!B:B,0)))</f>
        <v/>
      </c>
      <c r="AF54" s="42"/>
      <c r="AG54" s="299"/>
      <c r="AH54" s="301" t="str">
        <f t="array" ref="AH54">IF(W54="","", INDEX(Other!H:H, MATCH(W54, Other!B:B,0)))</f>
        <v/>
      </c>
      <c r="AI54" s="42"/>
      <c r="AJ54" s="42"/>
      <c r="AK54" s="299"/>
      <c r="AL54" s="301" t="str">
        <f t="shared" si="2"/>
        <v/>
      </c>
      <c r="AM54" s="42"/>
      <c r="AN54" s="42"/>
      <c r="AO54" s="44"/>
      <c r="AP54" s="114"/>
      <c r="AQ54" s="83"/>
      <c r="AR54" s="83"/>
      <c r="AS54" s="83"/>
      <c r="AT54" s="83"/>
      <c r="AU54" s="83"/>
      <c r="AV54" s="83"/>
      <c r="AW54" s="83"/>
      <c r="AX54" s="83"/>
      <c r="AY54" s="83"/>
      <c r="AZ54" s="83"/>
      <c r="BA54" s="83"/>
      <c r="BB54" s="83"/>
    </row>
    <row r="55">
      <c r="A55" s="101"/>
      <c r="B55" s="298"/>
      <c r="C55" s="42"/>
      <c r="D55" s="42"/>
      <c r="E55" s="42"/>
      <c r="F55" s="299"/>
      <c r="G55" s="300"/>
      <c r="H55" s="42"/>
      <c r="I55" s="299"/>
      <c r="J55" s="301" t="str">
        <f t="array" ref="J55">IF(B55="","", INDEX(Ingredients!G:G, MATCH(B55, Ingredients!B:B,0)))</f>
        <v/>
      </c>
      <c r="K55" s="42"/>
      <c r="L55" s="299"/>
      <c r="M55" s="301" t="str">
        <f t="array" ref="M55">IF(B55="","", INDEX(Ingredients!H:H, MATCH(B55, Ingredients!B:B,0)))</f>
        <v/>
      </c>
      <c r="N55" s="42"/>
      <c r="O55" s="42"/>
      <c r="P55" s="299"/>
      <c r="Q55" s="302" t="str">
        <f t="shared" si="1"/>
        <v/>
      </c>
      <c r="R55" s="42"/>
      <c r="S55" s="42"/>
      <c r="T55" s="44"/>
      <c r="U55" s="114"/>
      <c r="V55" s="101"/>
      <c r="W55" s="298"/>
      <c r="X55" s="42"/>
      <c r="Y55" s="42"/>
      <c r="Z55" s="42"/>
      <c r="AA55" s="299"/>
      <c r="AB55" s="300"/>
      <c r="AC55" s="42"/>
      <c r="AD55" s="299"/>
      <c r="AE55" s="301" t="str">
        <f t="array" ref="AE55">IF(W55="","", INDEX(Other!G:G, MATCH(W55, Other!B:B,0)))</f>
        <v/>
      </c>
      <c r="AF55" s="42"/>
      <c r="AG55" s="299"/>
      <c r="AH55" s="301" t="str">
        <f t="array" ref="AH55">IF(W55="","", INDEX(Other!H:H, MATCH(W55, Other!B:B,0)))</f>
        <v/>
      </c>
      <c r="AI55" s="42"/>
      <c r="AJ55" s="42"/>
      <c r="AK55" s="299"/>
      <c r="AL55" s="301" t="str">
        <f t="shared" si="2"/>
        <v/>
      </c>
      <c r="AM55" s="42"/>
      <c r="AN55" s="42"/>
      <c r="AO55" s="44"/>
      <c r="AP55" s="114"/>
      <c r="AQ55" s="83"/>
      <c r="AR55" s="83"/>
      <c r="AS55" s="83"/>
      <c r="AT55" s="83"/>
      <c r="AU55" s="83"/>
      <c r="AV55" s="83"/>
      <c r="AW55" s="83"/>
      <c r="AX55" s="83"/>
      <c r="AY55" s="83"/>
      <c r="AZ55" s="83"/>
      <c r="BA55" s="83"/>
      <c r="BB55" s="83"/>
    </row>
    <row r="56">
      <c r="A56" s="101"/>
      <c r="B56" s="298"/>
      <c r="C56" s="42"/>
      <c r="D56" s="42"/>
      <c r="E56" s="42"/>
      <c r="F56" s="299"/>
      <c r="G56" s="300"/>
      <c r="H56" s="42"/>
      <c r="I56" s="299"/>
      <c r="J56" s="301" t="str">
        <f t="array" ref="J56">IF(B56="","", INDEX(Ingredients!G:G, MATCH(B56, Ingredients!B:B,0)))</f>
        <v/>
      </c>
      <c r="K56" s="42"/>
      <c r="L56" s="299"/>
      <c r="M56" s="301" t="str">
        <f t="array" ref="M56">IF(B56="","", INDEX(Ingredients!H:H, MATCH(B56, Ingredients!B:B,0)))</f>
        <v/>
      </c>
      <c r="N56" s="42"/>
      <c r="O56" s="42"/>
      <c r="P56" s="299"/>
      <c r="Q56" s="302" t="str">
        <f t="shared" si="1"/>
        <v/>
      </c>
      <c r="R56" s="42"/>
      <c r="S56" s="42"/>
      <c r="T56" s="44"/>
      <c r="U56" s="114"/>
      <c r="V56" s="101"/>
      <c r="W56" s="298"/>
      <c r="X56" s="42"/>
      <c r="Y56" s="42"/>
      <c r="Z56" s="42"/>
      <c r="AA56" s="299"/>
      <c r="AB56" s="300"/>
      <c r="AC56" s="42"/>
      <c r="AD56" s="299"/>
      <c r="AE56" s="301" t="str">
        <f t="array" ref="AE56">IF(W56="","", INDEX(Other!G:G, MATCH(W56, Other!B:B,0)))</f>
        <v/>
      </c>
      <c r="AF56" s="42"/>
      <c r="AG56" s="299"/>
      <c r="AH56" s="301" t="str">
        <f t="array" ref="AH56">IF(W56="","", INDEX(Other!H:H, MATCH(W56, Other!B:B,0)))</f>
        <v/>
      </c>
      <c r="AI56" s="42"/>
      <c r="AJ56" s="42"/>
      <c r="AK56" s="299"/>
      <c r="AL56" s="301" t="str">
        <f t="shared" si="2"/>
        <v/>
      </c>
      <c r="AM56" s="42"/>
      <c r="AN56" s="42"/>
      <c r="AO56" s="44"/>
      <c r="AP56" s="114"/>
      <c r="AQ56" s="83"/>
      <c r="AR56" s="83"/>
      <c r="AS56" s="83"/>
      <c r="AT56" s="83"/>
      <c r="AU56" s="83"/>
      <c r="AV56" s="83"/>
      <c r="AW56" s="83"/>
      <c r="AX56" s="83"/>
      <c r="AY56" s="83"/>
      <c r="AZ56" s="83"/>
      <c r="BA56" s="83"/>
      <c r="BB56" s="83"/>
    </row>
    <row r="57">
      <c r="A57" s="101"/>
      <c r="B57" s="298"/>
      <c r="C57" s="42"/>
      <c r="D57" s="42"/>
      <c r="E57" s="42"/>
      <c r="F57" s="299"/>
      <c r="G57" s="300"/>
      <c r="H57" s="42"/>
      <c r="I57" s="299"/>
      <c r="J57" s="301" t="str">
        <f t="array" ref="J57">IF(B57="","", INDEX(Ingredients!G:G, MATCH(B57, Ingredients!B:B,0)))</f>
        <v/>
      </c>
      <c r="K57" s="42"/>
      <c r="L57" s="299"/>
      <c r="M57" s="301" t="str">
        <f t="array" ref="M57">IF(B57="","", INDEX(Ingredients!H:H, MATCH(B57, Ingredients!B:B,0)))</f>
        <v/>
      </c>
      <c r="N57" s="42"/>
      <c r="O57" s="42"/>
      <c r="P57" s="299"/>
      <c r="Q57" s="302" t="str">
        <f t="shared" si="1"/>
        <v/>
      </c>
      <c r="R57" s="42"/>
      <c r="S57" s="42"/>
      <c r="T57" s="44"/>
      <c r="U57" s="114"/>
      <c r="V57" s="101"/>
      <c r="W57" s="298"/>
      <c r="X57" s="42"/>
      <c r="Y57" s="42"/>
      <c r="Z57" s="42"/>
      <c r="AA57" s="299"/>
      <c r="AB57" s="300"/>
      <c r="AC57" s="42"/>
      <c r="AD57" s="299"/>
      <c r="AE57" s="301" t="str">
        <f t="array" ref="AE57">IF(W57="","", INDEX(Other!G:G, MATCH(W57, Other!B:B,0)))</f>
        <v/>
      </c>
      <c r="AF57" s="42"/>
      <c r="AG57" s="299"/>
      <c r="AH57" s="301" t="str">
        <f t="array" ref="AH57">IF(W57="","", INDEX(Other!H:H, MATCH(W57, Other!B:B,0)))</f>
        <v/>
      </c>
      <c r="AI57" s="42"/>
      <c r="AJ57" s="42"/>
      <c r="AK57" s="299"/>
      <c r="AL57" s="301" t="str">
        <f t="shared" si="2"/>
        <v/>
      </c>
      <c r="AM57" s="42"/>
      <c r="AN57" s="42"/>
      <c r="AO57" s="44"/>
      <c r="AP57" s="114"/>
      <c r="AQ57" s="83"/>
      <c r="AR57" s="83"/>
      <c r="AS57" s="83"/>
      <c r="AT57" s="83"/>
      <c r="AU57" s="83"/>
      <c r="AV57" s="83"/>
      <c r="AW57" s="83"/>
      <c r="AX57" s="83"/>
      <c r="AY57" s="83"/>
      <c r="AZ57" s="83"/>
      <c r="BA57" s="83"/>
      <c r="BB57" s="83"/>
    </row>
    <row r="58">
      <c r="A58" s="101"/>
      <c r="B58" s="298"/>
      <c r="C58" s="42"/>
      <c r="D58" s="42"/>
      <c r="E58" s="42"/>
      <c r="F58" s="299"/>
      <c r="G58" s="300"/>
      <c r="H58" s="42"/>
      <c r="I58" s="299"/>
      <c r="J58" s="301" t="str">
        <f t="array" ref="J58">IF(B58="","", INDEX(Ingredients!G:G, MATCH(B58, Ingredients!B:B,0)))</f>
        <v/>
      </c>
      <c r="K58" s="42"/>
      <c r="L58" s="299"/>
      <c r="M58" s="301" t="str">
        <f t="array" ref="M58">IF(B58="","", INDEX(Ingredients!H:H, MATCH(B58, Ingredients!B:B,0)))</f>
        <v/>
      </c>
      <c r="N58" s="42"/>
      <c r="O58" s="42"/>
      <c r="P58" s="299"/>
      <c r="Q58" s="302" t="str">
        <f t="shared" si="1"/>
        <v/>
      </c>
      <c r="R58" s="42"/>
      <c r="S58" s="42"/>
      <c r="T58" s="44"/>
      <c r="U58" s="114"/>
      <c r="V58" s="101"/>
      <c r="W58" s="298"/>
      <c r="X58" s="42"/>
      <c r="Y58" s="42"/>
      <c r="Z58" s="42"/>
      <c r="AA58" s="299"/>
      <c r="AB58" s="300"/>
      <c r="AC58" s="42"/>
      <c r="AD58" s="299"/>
      <c r="AE58" s="301" t="str">
        <f t="array" ref="AE58">IF(W58="","", INDEX(Other!G:G, MATCH(W58, Other!B:B,0)))</f>
        <v/>
      </c>
      <c r="AF58" s="42"/>
      <c r="AG58" s="299"/>
      <c r="AH58" s="301" t="str">
        <f t="array" ref="AH58">IF(W58="","", INDEX(Other!H:H, MATCH(W58, Other!B:B,0)))</f>
        <v/>
      </c>
      <c r="AI58" s="42"/>
      <c r="AJ58" s="42"/>
      <c r="AK58" s="299"/>
      <c r="AL58" s="301" t="str">
        <f t="shared" si="2"/>
        <v/>
      </c>
      <c r="AM58" s="42"/>
      <c r="AN58" s="42"/>
      <c r="AO58" s="44"/>
      <c r="AP58" s="114"/>
      <c r="AQ58" s="83"/>
      <c r="AR58" s="83"/>
      <c r="AS58" s="83"/>
      <c r="AT58" s="83"/>
      <c r="AU58" s="83"/>
      <c r="AV58" s="83"/>
      <c r="AW58" s="83"/>
      <c r="AX58" s="83"/>
      <c r="AY58" s="83"/>
      <c r="AZ58" s="83"/>
      <c r="BA58" s="83"/>
      <c r="BB58" s="83"/>
    </row>
    <row r="59">
      <c r="A59" s="101"/>
      <c r="B59" s="298"/>
      <c r="C59" s="42"/>
      <c r="D59" s="42"/>
      <c r="E59" s="42"/>
      <c r="F59" s="299"/>
      <c r="G59" s="300"/>
      <c r="H59" s="42"/>
      <c r="I59" s="299"/>
      <c r="J59" s="301" t="str">
        <f t="array" ref="J59">IF(B59="","", INDEX(Ingredients!G:G, MATCH(B59, Ingredients!B:B,0)))</f>
        <v/>
      </c>
      <c r="K59" s="42"/>
      <c r="L59" s="299"/>
      <c r="M59" s="301" t="str">
        <f t="array" ref="M59">IF(B59="","", INDEX(Ingredients!H:H, MATCH(B59, Ingredients!B:B,0)))</f>
        <v/>
      </c>
      <c r="N59" s="42"/>
      <c r="O59" s="42"/>
      <c r="P59" s="299"/>
      <c r="Q59" s="302" t="str">
        <f t="shared" si="1"/>
        <v/>
      </c>
      <c r="R59" s="42"/>
      <c r="S59" s="42"/>
      <c r="T59" s="44"/>
      <c r="U59" s="114"/>
      <c r="V59" s="101"/>
      <c r="W59" s="298"/>
      <c r="X59" s="42"/>
      <c r="Y59" s="42"/>
      <c r="Z59" s="42"/>
      <c r="AA59" s="299"/>
      <c r="AB59" s="300"/>
      <c r="AC59" s="42"/>
      <c r="AD59" s="299"/>
      <c r="AE59" s="301" t="str">
        <f t="array" ref="AE59">IF(W59="","", INDEX(Other!G:G, MATCH(W59, Other!B:B,0)))</f>
        <v/>
      </c>
      <c r="AF59" s="42"/>
      <c r="AG59" s="299"/>
      <c r="AH59" s="301" t="str">
        <f t="array" ref="AH59">IF(W59="","", INDEX(Other!H:H, MATCH(W59, Other!B:B,0)))</f>
        <v/>
      </c>
      <c r="AI59" s="42"/>
      <c r="AJ59" s="42"/>
      <c r="AK59" s="299"/>
      <c r="AL59" s="301" t="str">
        <f t="shared" si="2"/>
        <v/>
      </c>
      <c r="AM59" s="42"/>
      <c r="AN59" s="42"/>
      <c r="AO59" s="44"/>
      <c r="AP59" s="114"/>
      <c r="AQ59" s="83"/>
      <c r="AR59" s="83"/>
      <c r="AS59" s="83"/>
      <c r="AT59" s="83"/>
      <c r="AU59" s="83"/>
      <c r="AV59" s="83"/>
      <c r="AW59" s="83"/>
      <c r="AX59" s="83"/>
      <c r="AY59" s="83"/>
      <c r="AZ59" s="83"/>
      <c r="BA59" s="83"/>
      <c r="BB59" s="83"/>
    </row>
    <row r="60">
      <c r="A60" s="101"/>
      <c r="B60" s="298"/>
      <c r="C60" s="42"/>
      <c r="D60" s="42"/>
      <c r="E60" s="42"/>
      <c r="F60" s="299"/>
      <c r="G60" s="300"/>
      <c r="H60" s="42"/>
      <c r="I60" s="299"/>
      <c r="J60" s="301" t="str">
        <f t="array" ref="J60">IF(B60="","", INDEX(Ingredients!G:G, MATCH(B60, Ingredients!B:B,0)))</f>
        <v/>
      </c>
      <c r="K60" s="42"/>
      <c r="L60" s="299"/>
      <c r="M60" s="301" t="str">
        <f t="array" ref="M60">IF(B60="","", INDEX(Ingredients!H:H, MATCH(B60, Ingredients!B:B,0)))</f>
        <v/>
      </c>
      <c r="N60" s="42"/>
      <c r="O60" s="42"/>
      <c r="P60" s="299"/>
      <c r="Q60" s="302" t="str">
        <f t="shared" si="1"/>
        <v/>
      </c>
      <c r="R60" s="42"/>
      <c r="S60" s="42"/>
      <c r="T60" s="44"/>
      <c r="U60" s="114"/>
      <c r="V60" s="101"/>
      <c r="W60" s="298"/>
      <c r="X60" s="42"/>
      <c r="Y60" s="42"/>
      <c r="Z60" s="42"/>
      <c r="AA60" s="299"/>
      <c r="AB60" s="300"/>
      <c r="AC60" s="42"/>
      <c r="AD60" s="299"/>
      <c r="AE60" s="301" t="str">
        <f t="array" ref="AE60">IF(W60="","", INDEX(Other!G:G, MATCH(W60, Other!B:B,0)))</f>
        <v/>
      </c>
      <c r="AF60" s="42"/>
      <c r="AG60" s="299"/>
      <c r="AH60" s="301" t="str">
        <f t="array" ref="AH60">IF(W60="","", INDEX(Other!H:H, MATCH(W60, Other!B:B,0)))</f>
        <v/>
      </c>
      <c r="AI60" s="42"/>
      <c r="AJ60" s="42"/>
      <c r="AK60" s="299"/>
      <c r="AL60" s="301" t="str">
        <f t="shared" si="2"/>
        <v/>
      </c>
      <c r="AM60" s="42"/>
      <c r="AN60" s="42"/>
      <c r="AO60" s="44"/>
      <c r="AP60" s="114"/>
      <c r="AQ60" s="83"/>
      <c r="AR60" s="83"/>
      <c r="AS60" s="83"/>
      <c r="AT60" s="83"/>
      <c r="AU60" s="83"/>
      <c r="AV60" s="83"/>
      <c r="AW60" s="83"/>
      <c r="AX60" s="83"/>
      <c r="AY60" s="83"/>
      <c r="AZ60" s="83"/>
      <c r="BA60" s="83"/>
      <c r="BB60" s="83"/>
    </row>
    <row r="61">
      <c r="A61" s="101"/>
      <c r="B61" s="298"/>
      <c r="C61" s="42"/>
      <c r="D61" s="42"/>
      <c r="E61" s="42"/>
      <c r="F61" s="299"/>
      <c r="G61" s="300"/>
      <c r="H61" s="42"/>
      <c r="I61" s="299"/>
      <c r="J61" s="301" t="str">
        <f t="array" ref="J61">IF(B61="","", INDEX(Ingredients!G:G, MATCH(B61, Ingredients!B:B,0)))</f>
        <v/>
      </c>
      <c r="K61" s="42"/>
      <c r="L61" s="299"/>
      <c r="M61" s="301" t="str">
        <f t="array" ref="M61">IF(B61="","", INDEX(Ingredients!H:H, MATCH(B61, Ingredients!B:B,0)))</f>
        <v/>
      </c>
      <c r="N61" s="42"/>
      <c r="O61" s="42"/>
      <c r="P61" s="299"/>
      <c r="Q61" s="302" t="str">
        <f t="shared" si="1"/>
        <v/>
      </c>
      <c r="R61" s="42"/>
      <c r="S61" s="42"/>
      <c r="T61" s="44"/>
      <c r="U61" s="114"/>
      <c r="V61" s="101"/>
      <c r="W61" s="298"/>
      <c r="X61" s="42"/>
      <c r="Y61" s="42"/>
      <c r="Z61" s="42"/>
      <c r="AA61" s="299"/>
      <c r="AB61" s="300"/>
      <c r="AC61" s="42"/>
      <c r="AD61" s="299"/>
      <c r="AE61" s="301" t="str">
        <f t="array" ref="AE61">IF(W61="","", INDEX(Other!G:G, MATCH(W61, Other!B:B,0)))</f>
        <v/>
      </c>
      <c r="AF61" s="42"/>
      <c r="AG61" s="299"/>
      <c r="AH61" s="301" t="str">
        <f t="array" ref="AH61">IF(W61="","", INDEX(Other!H:H, MATCH(W61, Other!B:B,0)))</f>
        <v/>
      </c>
      <c r="AI61" s="42"/>
      <c r="AJ61" s="42"/>
      <c r="AK61" s="299"/>
      <c r="AL61" s="301" t="str">
        <f t="shared" si="2"/>
        <v/>
      </c>
      <c r="AM61" s="42"/>
      <c r="AN61" s="42"/>
      <c r="AO61" s="44"/>
      <c r="AP61" s="114"/>
      <c r="AQ61" s="83"/>
      <c r="AR61" s="83"/>
      <c r="AS61" s="83"/>
      <c r="AT61" s="83"/>
      <c r="AU61" s="83"/>
      <c r="AV61" s="83"/>
      <c r="AW61" s="83"/>
      <c r="AX61" s="83"/>
      <c r="AY61" s="83"/>
      <c r="AZ61" s="83"/>
      <c r="BA61" s="83"/>
      <c r="BB61" s="83"/>
    </row>
    <row r="62">
      <c r="A62" s="101"/>
      <c r="B62" s="298"/>
      <c r="C62" s="42"/>
      <c r="D62" s="42"/>
      <c r="E62" s="42"/>
      <c r="F62" s="299"/>
      <c r="G62" s="300"/>
      <c r="H62" s="42"/>
      <c r="I62" s="299"/>
      <c r="J62" s="301" t="str">
        <f t="array" ref="J62">IF(B62="","", INDEX(Ingredients!G:G, MATCH(B62, Ingredients!B:B,0)))</f>
        <v/>
      </c>
      <c r="K62" s="42"/>
      <c r="L62" s="299"/>
      <c r="M62" s="301" t="str">
        <f t="array" ref="M62">IF(B62="","", INDEX(Ingredients!H:H, MATCH(B62, Ingredients!B:B,0)))</f>
        <v/>
      </c>
      <c r="N62" s="42"/>
      <c r="O62" s="42"/>
      <c r="P62" s="299"/>
      <c r="Q62" s="302" t="str">
        <f t="shared" si="1"/>
        <v/>
      </c>
      <c r="R62" s="42"/>
      <c r="S62" s="42"/>
      <c r="T62" s="44"/>
      <c r="U62" s="114"/>
      <c r="V62" s="101"/>
      <c r="W62" s="298"/>
      <c r="X62" s="42"/>
      <c r="Y62" s="42"/>
      <c r="Z62" s="42"/>
      <c r="AA62" s="299"/>
      <c r="AB62" s="300"/>
      <c r="AC62" s="42"/>
      <c r="AD62" s="299"/>
      <c r="AE62" s="301" t="str">
        <f t="array" ref="AE62">IF(W62="","", INDEX(Other!G:G, MATCH(W62, Other!B:B,0)))</f>
        <v/>
      </c>
      <c r="AF62" s="42"/>
      <c r="AG62" s="299"/>
      <c r="AH62" s="301" t="str">
        <f t="array" ref="AH62">IF(W62="","", INDEX(Other!H:H, MATCH(W62, Other!B:B,0)))</f>
        <v/>
      </c>
      <c r="AI62" s="42"/>
      <c r="AJ62" s="42"/>
      <c r="AK62" s="299"/>
      <c r="AL62" s="301" t="str">
        <f t="shared" si="2"/>
        <v/>
      </c>
      <c r="AM62" s="42"/>
      <c r="AN62" s="42"/>
      <c r="AO62" s="44"/>
      <c r="AP62" s="114"/>
      <c r="AQ62" s="83"/>
      <c r="AR62" s="83"/>
      <c r="AS62" s="83"/>
      <c r="AT62" s="83"/>
      <c r="AU62" s="83"/>
      <c r="AV62" s="83"/>
      <c r="AW62" s="83"/>
      <c r="AX62" s="83"/>
      <c r="AY62" s="83"/>
      <c r="AZ62" s="83"/>
      <c r="BA62" s="83"/>
      <c r="BB62" s="83"/>
    </row>
    <row r="63">
      <c r="A63" s="101"/>
      <c r="B63" s="298"/>
      <c r="C63" s="42"/>
      <c r="D63" s="42"/>
      <c r="E63" s="42"/>
      <c r="F63" s="299"/>
      <c r="G63" s="300"/>
      <c r="H63" s="42"/>
      <c r="I63" s="299"/>
      <c r="J63" s="301" t="str">
        <f t="array" ref="J63">IF(B63="","", INDEX(Ingredients!G:G, MATCH(B63, Ingredients!B:B,0)))</f>
        <v/>
      </c>
      <c r="K63" s="42"/>
      <c r="L63" s="299"/>
      <c r="M63" s="301" t="str">
        <f t="array" ref="M63">IF(B63="","", INDEX(Ingredients!H:H, MATCH(B63, Ingredients!B:B,0)))</f>
        <v/>
      </c>
      <c r="N63" s="42"/>
      <c r="O63" s="42"/>
      <c r="P63" s="299"/>
      <c r="Q63" s="302" t="str">
        <f t="shared" si="1"/>
        <v/>
      </c>
      <c r="R63" s="42"/>
      <c r="S63" s="42"/>
      <c r="T63" s="44"/>
      <c r="U63" s="114"/>
      <c r="V63" s="101"/>
      <c r="W63" s="298"/>
      <c r="X63" s="42"/>
      <c r="Y63" s="42"/>
      <c r="Z63" s="42"/>
      <c r="AA63" s="299"/>
      <c r="AB63" s="300"/>
      <c r="AC63" s="42"/>
      <c r="AD63" s="299"/>
      <c r="AE63" s="301" t="str">
        <f t="array" ref="AE63">IF(W63="","", INDEX(Other!G:G, MATCH(W63, Other!B:B,0)))</f>
        <v/>
      </c>
      <c r="AF63" s="42"/>
      <c r="AG63" s="299"/>
      <c r="AH63" s="301" t="str">
        <f t="array" ref="AH63">IF(W63="","", INDEX(Other!H:H, MATCH(W63, Other!B:B,0)))</f>
        <v/>
      </c>
      <c r="AI63" s="42"/>
      <c r="AJ63" s="42"/>
      <c r="AK63" s="299"/>
      <c r="AL63" s="301" t="str">
        <f t="shared" si="2"/>
        <v/>
      </c>
      <c r="AM63" s="42"/>
      <c r="AN63" s="42"/>
      <c r="AO63" s="44"/>
      <c r="AP63" s="114"/>
      <c r="AQ63" s="83"/>
      <c r="AR63" s="83"/>
      <c r="AS63" s="83"/>
      <c r="AT63" s="83"/>
      <c r="AU63" s="83"/>
      <c r="AV63" s="83"/>
      <c r="AW63" s="83"/>
      <c r="AX63" s="83"/>
      <c r="AY63" s="83"/>
      <c r="AZ63" s="83"/>
      <c r="BA63" s="83"/>
      <c r="BB63" s="83"/>
    </row>
    <row r="64">
      <c r="A64" s="101"/>
      <c r="B64" s="298"/>
      <c r="C64" s="42"/>
      <c r="D64" s="42"/>
      <c r="E64" s="42"/>
      <c r="F64" s="299"/>
      <c r="G64" s="300"/>
      <c r="H64" s="42"/>
      <c r="I64" s="299"/>
      <c r="J64" s="301" t="str">
        <f t="array" ref="J64">IF(B64="","", INDEX(Ingredients!G:G, MATCH(B64, Ingredients!B:B,0)))</f>
        <v/>
      </c>
      <c r="K64" s="42"/>
      <c r="L64" s="299"/>
      <c r="M64" s="301" t="str">
        <f t="array" ref="M64">IF(B64="","", INDEX(Ingredients!H:H, MATCH(B64, Ingredients!B:B,0)))</f>
        <v/>
      </c>
      <c r="N64" s="42"/>
      <c r="O64" s="42"/>
      <c r="P64" s="299"/>
      <c r="Q64" s="302" t="str">
        <f t="shared" si="1"/>
        <v/>
      </c>
      <c r="R64" s="42"/>
      <c r="S64" s="42"/>
      <c r="T64" s="44"/>
      <c r="U64" s="114"/>
      <c r="V64" s="101"/>
      <c r="W64" s="298"/>
      <c r="X64" s="42"/>
      <c r="Y64" s="42"/>
      <c r="Z64" s="42"/>
      <c r="AA64" s="299"/>
      <c r="AB64" s="300"/>
      <c r="AC64" s="42"/>
      <c r="AD64" s="299"/>
      <c r="AE64" s="301" t="str">
        <f t="array" ref="AE64">IF(W64="","", INDEX(Other!G:G, MATCH(W64, Other!B:B,0)))</f>
        <v/>
      </c>
      <c r="AF64" s="42"/>
      <c r="AG64" s="299"/>
      <c r="AH64" s="301" t="str">
        <f t="array" ref="AH64">IF(W64="","", INDEX(Other!H:H, MATCH(W64, Other!B:B,0)))</f>
        <v/>
      </c>
      <c r="AI64" s="42"/>
      <c r="AJ64" s="42"/>
      <c r="AK64" s="299"/>
      <c r="AL64" s="301" t="str">
        <f t="shared" si="2"/>
        <v/>
      </c>
      <c r="AM64" s="42"/>
      <c r="AN64" s="42"/>
      <c r="AO64" s="44"/>
      <c r="AP64" s="114"/>
      <c r="AQ64" s="83"/>
      <c r="AR64" s="83"/>
      <c r="AS64" s="83"/>
      <c r="AT64" s="83"/>
      <c r="AU64" s="83"/>
      <c r="AV64" s="83"/>
      <c r="AW64" s="83"/>
      <c r="AX64" s="83"/>
      <c r="AY64" s="83"/>
      <c r="AZ64" s="83"/>
      <c r="BA64" s="83"/>
      <c r="BB64" s="83"/>
    </row>
    <row r="65">
      <c r="A65" s="101"/>
      <c r="B65" s="298"/>
      <c r="C65" s="42"/>
      <c r="D65" s="42"/>
      <c r="E65" s="42"/>
      <c r="F65" s="299"/>
      <c r="G65" s="300"/>
      <c r="H65" s="42"/>
      <c r="I65" s="299"/>
      <c r="J65" s="301" t="str">
        <f t="array" ref="J65">IF(B65="","", INDEX(Ingredients!G:G, MATCH(B65, Ingredients!B:B,0)))</f>
        <v/>
      </c>
      <c r="K65" s="42"/>
      <c r="L65" s="299"/>
      <c r="M65" s="301" t="str">
        <f t="array" ref="M65">IF(B65="","", INDEX(Ingredients!H:H, MATCH(B65, Ingredients!B:B,0)))</f>
        <v/>
      </c>
      <c r="N65" s="42"/>
      <c r="O65" s="42"/>
      <c r="P65" s="299"/>
      <c r="Q65" s="302" t="str">
        <f t="shared" si="1"/>
        <v/>
      </c>
      <c r="R65" s="42"/>
      <c r="S65" s="42"/>
      <c r="T65" s="44"/>
      <c r="U65" s="114"/>
      <c r="V65" s="101"/>
      <c r="W65" s="298"/>
      <c r="X65" s="42"/>
      <c r="Y65" s="42"/>
      <c r="Z65" s="42"/>
      <c r="AA65" s="299"/>
      <c r="AB65" s="300"/>
      <c r="AC65" s="42"/>
      <c r="AD65" s="299"/>
      <c r="AE65" s="301" t="str">
        <f t="array" ref="AE65">IF(W65="","", INDEX(Other!G:G, MATCH(W65, Other!B:B,0)))</f>
        <v/>
      </c>
      <c r="AF65" s="42"/>
      <c r="AG65" s="299"/>
      <c r="AH65" s="301" t="str">
        <f t="array" ref="AH65">IF(W65="","", INDEX(Other!H:H, MATCH(W65, Other!B:B,0)))</f>
        <v/>
      </c>
      <c r="AI65" s="42"/>
      <c r="AJ65" s="42"/>
      <c r="AK65" s="299"/>
      <c r="AL65" s="301" t="str">
        <f t="shared" si="2"/>
        <v/>
      </c>
      <c r="AM65" s="42"/>
      <c r="AN65" s="42"/>
      <c r="AO65" s="44"/>
      <c r="AP65" s="114"/>
      <c r="AQ65" s="83"/>
      <c r="AR65" s="83"/>
      <c r="AS65" s="83"/>
      <c r="AT65" s="83"/>
      <c r="AU65" s="83"/>
      <c r="AV65" s="83"/>
      <c r="AW65" s="83"/>
      <c r="AX65" s="83"/>
      <c r="AY65" s="83"/>
      <c r="AZ65" s="83"/>
      <c r="BA65" s="83"/>
      <c r="BB65" s="83"/>
    </row>
    <row r="66">
      <c r="A66" s="101"/>
      <c r="B66" s="298"/>
      <c r="C66" s="42"/>
      <c r="D66" s="42"/>
      <c r="E66" s="42"/>
      <c r="F66" s="299"/>
      <c r="G66" s="300"/>
      <c r="H66" s="42"/>
      <c r="I66" s="299"/>
      <c r="J66" s="301" t="str">
        <f t="array" ref="J66">IF(B66="","", INDEX(Ingredients!G:G, MATCH(B66, Ingredients!B:B,0)))</f>
        <v/>
      </c>
      <c r="K66" s="42"/>
      <c r="L66" s="299"/>
      <c r="M66" s="301" t="str">
        <f t="array" ref="M66">IF(B66="","", INDEX(Ingredients!H:H, MATCH(B66, Ingredients!B:B,0)))</f>
        <v/>
      </c>
      <c r="N66" s="42"/>
      <c r="O66" s="42"/>
      <c r="P66" s="299"/>
      <c r="Q66" s="302" t="str">
        <f t="shared" si="1"/>
        <v/>
      </c>
      <c r="R66" s="42"/>
      <c r="S66" s="42"/>
      <c r="T66" s="44"/>
      <c r="U66" s="114"/>
      <c r="V66" s="101"/>
      <c r="W66" s="298"/>
      <c r="X66" s="42"/>
      <c r="Y66" s="42"/>
      <c r="Z66" s="42"/>
      <c r="AA66" s="299"/>
      <c r="AB66" s="300"/>
      <c r="AC66" s="42"/>
      <c r="AD66" s="299"/>
      <c r="AE66" s="301" t="str">
        <f t="array" ref="AE66">IF(W66="","", INDEX(Other!G:G, MATCH(W66, Other!B:B,0)))</f>
        <v/>
      </c>
      <c r="AF66" s="42"/>
      <c r="AG66" s="299"/>
      <c r="AH66" s="301" t="str">
        <f t="array" ref="AH66">IF(W66="","", INDEX(Other!H:H, MATCH(W66, Other!B:B,0)))</f>
        <v/>
      </c>
      <c r="AI66" s="42"/>
      <c r="AJ66" s="42"/>
      <c r="AK66" s="299"/>
      <c r="AL66" s="301" t="str">
        <f t="shared" si="2"/>
        <v/>
      </c>
      <c r="AM66" s="42"/>
      <c r="AN66" s="42"/>
      <c r="AO66" s="44"/>
      <c r="AP66" s="114"/>
      <c r="AQ66" s="83"/>
      <c r="AR66" s="83"/>
      <c r="AS66" s="83"/>
      <c r="AT66" s="83"/>
      <c r="AU66" s="83"/>
      <c r="AV66" s="83"/>
      <c r="AW66" s="83"/>
      <c r="AX66" s="83"/>
      <c r="AY66" s="83"/>
      <c r="AZ66" s="83"/>
      <c r="BA66" s="83"/>
      <c r="BB66" s="83"/>
    </row>
    <row r="67">
      <c r="A67" s="101"/>
      <c r="B67" s="298"/>
      <c r="C67" s="42"/>
      <c r="D67" s="42"/>
      <c r="E67" s="42"/>
      <c r="F67" s="299"/>
      <c r="G67" s="300"/>
      <c r="H67" s="42"/>
      <c r="I67" s="299"/>
      <c r="J67" s="301" t="str">
        <f t="array" ref="J67">IF(B67="","", INDEX(Ingredients!G:G, MATCH(B67, Ingredients!B:B,0)))</f>
        <v/>
      </c>
      <c r="K67" s="42"/>
      <c r="L67" s="299"/>
      <c r="M67" s="301" t="str">
        <f t="array" ref="M67">IF(B67="","", INDEX(Ingredients!H:H, MATCH(B67, Ingredients!B:B,0)))</f>
        <v/>
      </c>
      <c r="N67" s="42"/>
      <c r="O67" s="42"/>
      <c r="P67" s="299"/>
      <c r="Q67" s="302" t="str">
        <f t="shared" si="1"/>
        <v/>
      </c>
      <c r="R67" s="42"/>
      <c r="S67" s="42"/>
      <c r="T67" s="44"/>
      <c r="U67" s="114"/>
      <c r="V67" s="101"/>
      <c r="W67" s="298"/>
      <c r="X67" s="42"/>
      <c r="Y67" s="42"/>
      <c r="Z67" s="42"/>
      <c r="AA67" s="299"/>
      <c r="AB67" s="300"/>
      <c r="AC67" s="42"/>
      <c r="AD67" s="299"/>
      <c r="AE67" s="301" t="str">
        <f t="array" ref="AE67">IF(W67="","", INDEX(Other!G:G, MATCH(W67, Other!B:B,0)))</f>
        <v/>
      </c>
      <c r="AF67" s="42"/>
      <c r="AG67" s="299"/>
      <c r="AH67" s="301" t="str">
        <f t="array" ref="AH67">IF(W67="","", INDEX(Other!H:H, MATCH(W67, Other!B:B,0)))</f>
        <v/>
      </c>
      <c r="AI67" s="42"/>
      <c r="AJ67" s="42"/>
      <c r="AK67" s="299"/>
      <c r="AL67" s="301" t="str">
        <f t="shared" si="2"/>
        <v/>
      </c>
      <c r="AM67" s="42"/>
      <c r="AN67" s="42"/>
      <c r="AO67" s="44"/>
      <c r="AP67" s="114"/>
      <c r="AQ67" s="83"/>
      <c r="AR67" s="83"/>
      <c r="AS67" s="83"/>
      <c r="AT67" s="83"/>
      <c r="AU67" s="83"/>
      <c r="AV67" s="83"/>
      <c r="AW67" s="83"/>
      <c r="AX67" s="83"/>
      <c r="AY67" s="83"/>
      <c r="AZ67" s="83"/>
      <c r="BA67" s="83"/>
      <c r="BB67" s="83"/>
    </row>
    <row r="68">
      <c r="A68" s="101"/>
      <c r="B68" s="298"/>
      <c r="C68" s="42"/>
      <c r="D68" s="42"/>
      <c r="E68" s="42"/>
      <c r="F68" s="299"/>
      <c r="G68" s="300"/>
      <c r="H68" s="42"/>
      <c r="I68" s="299"/>
      <c r="J68" s="301" t="str">
        <f t="array" ref="J68">IF(B68="","", INDEX(Ingredients!G:G, MATCH(B68, Ingredients!B:B,0)))</f>
        <v/>
      </c>
      <c r="K68" s="42"/>
      <c r="L68" s="299"/>
      <c r="M68" s="301" t="str">
        <f t="array" ref="M68">IF(B68="","", INDEX(Ingredients!H:H, MATCH(B68, Ingredients!B:B,0)))</f>
        <v/>
      </c>
      <c r="N68" s="42"/>
      <c r="O68" s="42"/>
      <c r="P68" s="299"/>
      <c r="Q68" s="302" t="str">
        <f t="shared" si="1"/>
        <v/>
      </c>
      <c r="R68" s="42"/>
      <c r="S68" s="42"/>
      <c r="T68" s="44"/>
      <c r="U68" s="114"/>
      <c r="V68" s="101"/>
      <c r="W68" s="298"/>
      <c r="X68" s="42"/>
      <c r="Y68" s="42"/>
      <c r="Z68" s="42"/>
      <c r="AA68" s="299"/>
      <c r="AB68" s="300"/>
      <c r="AC68" s="42"/>
      <c r="AD68" s="299"/>
      <c r="AE68" s="301" t="str">
        <f t="array" ref="AE68">IF(W68="","", INDEX(Other!G:G, MATCH(W68, Other!B:B,0)))</f>
        <v/>
      </c>
      <c r="AF68" s="42"/>
      <c r="AG68" s="299"/>
      <c r="AH68" s="301" t="str">
        <f t="array" ref="AH68">IF(W68="","", INDEX(Other!H:H, MATCH(W68, Other!B:B,0)))</f>
        <v/>
      </c>
      <c r="AI68" s="42"/>
      <c r="AJ68" s="42"/>
      <c r="AK68" s="299"/>
      <c r="AL68" s="301" t="str">
        <f t="shared" si="2"/>
        <v/>
      </c>
      <c r="AM68" s="42"/>
      <c r="AN68" s="42"/>
      <c r="AO68" s="44"/>
      <c r="AP68" s="114"/>
      <c r="AQ68" s="83"/>
      <c r="AR68" s="83"/>
      <c r="AS68" s="83"/>
      <c r="AT68" s="83"/>
      <c r="AU68" s="83"/>
      <c r="AV68" s="83"/>
      <c r="AW68" s="83"/>
      <c r="AX68" s="83"/>
      <c r="AY68" s="83"/>
      <c r="AZ68" s="83"/>
      <c r="BA68" s="83"/>
      <c r="BB68" s="83"/>
    </row>
    <row r="69">
      <c r="A69" s="101"/>
      <c r="B69" s="298"/>
      <c r="C69" s="42"/>
      <c r="D69" s="42"/>
      <c r="E69" s="42"/>
      <c r="F69" s="299"/>
      <c r="G69" s="300"/>
      <c r="H69" s="42"/>
      <c r="I69" s="299"/>
      <c r="J69" s="301" t="str">
        <f t="array" ref="J69">IF(B69="","", INDEX(Ingredients!G:G, MATCH(B69, Ingredients!B:B,0)))</f>
        <v/>
      </c>
      <c r="K69" s="42"/>
      <c r="L69" s="299"/>
      <c r="M69" s="301" t="str">
        <f t="array" ref="M69">IF(B69="","", INDEX(Ingredients!H:H, MATCH(B69, Ingredients!B:B,0)))</f>
        <v/>
      </c>
      <c r="N69" s="42"/>
      <c r="O69" s="42"/>
      <c r="P69" s="299"/>
      <c r="Q69" s="302" t="str">
        <f t="shared" si="1"/>
        <v/>
      </c>
      <c r="R69" s="42"/>
      <c r="S69" s="42"/>
      <c r="T69" s="44"/>
      <c r="U69" s="114"/>
      <c r="V69" s="101"/>
      <c r="W69" s="298"/>
      <c r="X69" s="42"/>
      <c r="Y69" s="42"/>
      <c r="Z69" s="42"/>
      <c r="AA69" s="299"/>
      <c r="AB69" s="300"/>
      <c r="AC69" s="42"/>
      <c r="AD69" s="299"/>
      <c r="AE69" s="301" t="str">
        <f t="array" ref="AE69">IF(W69="","", INDEX(Other!G:G, MATCH(W69, Other!B:B,0)))</f>
        <v/>
      </c>
      <c r="AF69" s="42"/>
      <c r="AG69" s="299"/>
      <c r="AH69" s="301" t="str">
        <f t="array" ref="AH69">IF(W69="","", INDEX(Other!H:H, MATCH(W69, Other!B:B,0)))</f>
        <v/>
      </c>
      <c r="AI69" s="42"/>
      <c r="AJ69" s="42"/>
      <c r="AK69" s="299"/>
      <c r="AL69" s="301" t="str">
        <f t="shared" si="2"/>
        <v/>
      </c>
      <c r="AM69" s="42"/>
      <c r="AN69" s="42"/>
      <c r="AO69" s="44"/>
      <c r="AP69" s="114"/>
      <c r="AQ69" s="83"/>
      <c r="AR69" s="83"/>
      <c r="AS69" s="83"/>
      <c r="AT69" s="83"/>
      <c r="AU69" s="83"/>
      <c r="AV69" s="83"/>
      <c r="AW69" s="83"/>
      <c r="AX69" s="83"/>
      <c r="AY69" s="83"/>
      <c r="AZ69" s="83"/>
      <c r="BA69" s="83"/>
      <c r="BB69" s="83"/>
    </row>
    <row r="70">
      <c r="A70" s="101"/>
      <c r="B70" s="298"/>
      <c r="C70" s="42"/>
      <c r="D70" s="42"/>
      <c r="E70" s="42"/>
      <c r="F70" s="299"/>
      <c r="G70" s="300"/>
      <c r="H70" s="42"/>
      <c r="I70" s="299"/>
      <c r="J70" s="301" t="str">
        <f t="array" ref="J70">IF(B70="","", INDEX(Ingredients!G:G, MATCH(B70, Ingredients!B:B,0)))</f>
        <v/>
      </c>
      <c r="K70" s="42"/>
      <c r="L70" s="299"/>
      <c r="M70" s="301" t="str">
        <f t="array" ref="M70">IF(B70="","", INDEX(Ingredients!H:H, MATCH(B70, Ingredients!B:B,0)))</f>
        <v/>
      </c>
      <c r="N70" s="42"/>
      <c r="O70" s="42"/>
      <c r="P70" s="299"/>
      <c r="Q70" s="302" t="str">
        <f t="shared" si="1"/>
        <v/>
      </c>
      <c r="R70" s="42"/>
      <c r="S70" s="42"/>
      <c r="T70" s="44"/>
      <c r="U70" s="114"/>
      <c r="V70" s="101"/>
      <c r="W70" s="298"/>
      <c r="X70" s="42"/>
      <c r="Y70" s="42"/>
      <c r="Z70" s="42"/>
      <c r="AA70" s="299"/>
      <c r="AB70" s="300"/>
      <c r="AC70" s="42"/>
      <c r="AD70" s="299"/>
      <c r="AE70" s="301" t="str">
        <f t="array" ref="AE70">IF(W70="","", INDEX(Other!G:G, MATCH(W70, Other!B:B,0)))</f>
        <v/>
      </c>
      <c r="AF70" s="42"/>
      <c r="AG70" s="299"/>
      <c r="AH70" s="301" t="str">
        <f t="array" ref="AH70">IF(W70="","", INDEX(Other!H:H, MATCH(W70, Other!B:B,0)))</f>
        <v/>
      </c>
      <c r="AI70" s="42"/>
      <c r="AJ70" s="42"/>
      <c r="AK70" s="299"/>
      <c r="AL70" s="301" t="str">
        <f t="shared" si="2"/>
        <v/>
      </c>
      <c r="AM70" s="42"/>
      <c r="AN70" s="42"/>
      <c r="AO70" s="44"/>
      <c r="AP70" s="114"/>
      <c r="AQ70" s="83"/>
      <c r="AR70" s="83"/>
      <c r="AS70" s="83"/>
      <c r="AT70" s="83"/>
      <c r="AU70" s="83"/>
      <c r="AV70" s="83"/>
      <c r="AW70" s="83"/>
      <c r="AX70" s="83"/>
      <c r="AY70" s="83"/>
      <c r="AZ70" s="83"/>
      <c r="BA70" s="83"/>
      <c r="BB70" s="83"/>
    </row>
    <row r="71">
      <c r="A71" s="101"/>
      <c r="B71" s="298"/>
      <c r="C71" s="42"/>
      <c r="D71" s="42"/>
      <c r="E71" s="42"/>
      <c r="F71" s="299"/>
      <c r="G71" s="300"/>
      <c r="H71" s="42"/>
      <c r="I71" s="299"/>
      <c r="J71" s="301" t="str">
        <f t="array" ref="J71">IF(B71="","", INDEX(Ingredients!G:G, MATCH(B71, Ingredients!B:B,0)))</f>
        <v/>
      </c>
      <c r="K71" s="42"/>
      <c r="L71" s="299"/>
      <c r="M71" s="301" t="str">
        <f t="array" ref="M71">IF(B71="","", INDEX(Ingredients!H:H, MATCH(B71, Ingredients!B:B,0)))</f>
        <v/>
      </c>
      <c r="N71" s="42"/>
      <c r="O71" s="42"/>
      <c r="P71" s="299"/>
      <c r="Q71" s="302" t="str">
        <f t="shared" si="1"/>
        <v/>
      </c>
      <c r="R71" s="42"/>
      <c r="S71" s="42"/>
      <c r="T71" s="44"/>
      <c r="U71" s="114"/>
      <c r="V71" s="101"/>
      <c r="W71" s="298"/>
      <c r="X71" s="42"/>
      <c r="Y71" s="42"/>
      <c r="Z71" s="42"/>
      <c r="AA71" s="299"/>
      <c r="AB71" s="300"/>
      <c r="AC71" s="42"/>
      <c r="AD71" s="299"/>
      <c r="AE71" s="301" t="str">
        <f t="array" ref="AE71">IF(W71="","", INDEX(Other!G:G, MATCH(W71, Other!B:B,0)))</f>
        <v/>
      </c>
      <c r="AF71" s="42"/>
      <c r="AG71" s="299"/>
      <c r="AH71" s="301" t="str">
        <f t="array" ref="AH71">IF(W71="","", INDEX(Other!H:H, MATCH(W71, Other!B:B,0)))</f>
        <v/>
      </c>
      <c r="AI71" s="42"/>
      <c r="AJ71" s="42"/>
      <c r="AK71" s="299"/>
      <c r="AL71" s="301" t="str">
        <f t="shared" si="2"/>
        <v/>
      </c>
      <c r="AM71" s="42"/>
      <c r="AN71" s="42"/>
      <c r="AO71" s="44"/>
      <c r="AP71" s="114"/>
      <c r="AQ71" s="83"/>
      <c r="AR71" s="83"/>
      <c r="AS71" s="83"/>
      <c r="AT71" s="83"/>
      <c r="AU71" s="83"/>
      <c r="AV71" s="83"/>
      <c r="AW71" s="83"/>
      <c r="AX71" s="83"/>
      <c r="AY71" s="83"/>
      <c r="AZ71" s="83"/>
      <c r="BA71" s="83"/>
      <c r="BB71" s="83"/>
    </row>
    <row r="72">
      <c r="A72" s="101"/>
      <c r="B72" s="298"/>
      <c r="C72" s="42"/>
      <c r="D72" s="42"/>
      <c r="E72" s="42"/>
      <c r="F72" s="299"/>
      <c r="G72" s="300"/>
      <c r="H72" s="42"/>
      <c r="I72" s="299"/>
      <c r="J72" s="301" t="str">
        <f t="array" ref="J72">IF(B72="","", INDEX(Ingredients!G:G, MATCH(B72, Ingredients!B:B,0)))</f>
        <v/>
      </c>
      <c r="K72" s="42"/>
      <c r="L72" s="299"/>
      <c r="M72" s="301" t="str">
        <f t="array" ref="M72">IF(B72="","", INDEX(Ingredients!H:H, MATCH(B72, Ingredients!B:B,0)))</f>
        <v/>
      </c>
      <c r="N72" s="42"/>
      <c r="O72" s="42"/>
      <c r="P72" s="299"/>
      <c r="Q72" s="302" t="str">
        <f t="shared" si="1"/>
        <v/>
      </c>
      <c r="R72" s="42"/>
      <c r="S72" s="42"/>
      <c r="T72" s="44"/>
      <c r="U72" s="114"/>
      <c r="V72" s="101"/>
      <c r="W72" s="298"/>
      <c r="X72" s="42"/>
      <c r="Y72" s="42"/>
      <c r="Z72" s="42"/>
      <c r="AA72" s="299"/>
      <c r="AB72" s="300"/>
      <c r="AC72" s="42"/>
      <c r="AD72" s="299"/>
      <c r="AE72" s="301" t="str">
        <f t="array" ref="AE72">IF(W72="","", INDEX(Other!G:G, MATCH(W72, Other!B:B,0)))</f>
        <v/>
      </c>
      <c r="AF72" s="42"/>
      <c r="AG72" s="299"/>
      <c r="AH72" s="301" t="str">
        <f t="array" ref="AH72">IF(W72="","", INDEX(Other!H:H, MATCH(W72, Other!B:B,0)))</f>
        <v/>
      </c>
      <c r="AI72" s="42"/>
      <c r="AJ72" s="42"/>
      <c r="AK72" s="299"/>
      <c r="AL72" s="301" t="str">
        <f t="shared" si="2"/>
        <v/>
      </c>
      <c r="AM72" s="42"/>
      <c r="AN72" s="42"/>
      <c r="AO72" s="44"/>
      <c r="AP72" s="114"/>
      <c r="AQ72" s="83"/>
      <c r="AR72" s="83"/>
      <c r="AS72" s="83"/>
      <c r="AT72" s="83"/>
      <c r="AU72" s="83"/>
      <c r="AV72" s="83"/>
      <c r="AW72" s="83"/>
      <c r="AX72" s="83"/>
      <c r="AY72" s="83"/>
      <c r="AZ72" s="83"/>
      <c r="BA72" s="83"/>
      <c r="BB72" s="83"/>
    </row>
    <row r="73">
      <c r="A73" s="101"/>
      <c r="B73" s="298"/>
      <c r="C73" s="42"/>
      <c r="D73" s="42"/>
      <c r="E73" s="42"/>
      <c r="F73" s="299"/>
      <c r="G73" s="300"/>
      <c r="H73" s="42"/>
      <c r="I73" s="299"/>
      <c r="J73" s="301" t="str">
        <f t="array" ref="J73">IF(B73="","", INDEX(Ingredients!G:G, MATCH(B73, Ingredients!B:B,0)))</f>
        <v/>
      </c>
      <c r="K73" s="42"/>
      <c r="L73" s="299"/>
      <c r="M73" s="301" t="str">
        <f t="array" ref="M73">IF(B73="","", INDEX(Ingredients!H:H, MATCH(B73, Ingredients!B:B,0)))</f>
        <v/>
      </c>
      <c r="N73" s="42"/>
      <c r="O73" s="42"/>
      <c r="P73" s="299"/>
      <c r="Q73" s="302" t="str">
        <f t="shared" si="1"/>
        <v/>
      </c>
      <c r="R73" s="42"/>
      <c r="S73" s="42"/>
      <c r="T73" s="44"/>
      <c r="U73" s="114"/>
      <c r="V73" s="101"/>
      <c r="W73" s="298"/>
      <c r="X73" s="42"/>
      <c r="Y73" s="42"/>
      <c r="Z73" s="42"/>
      <c r="AA73" s="299"/>
      <c r="AB73" s="300"/>
      <c r="AC73" s="42"/>
      <c r="AD73" s="299"/>
      <c r="AE73" s="301" t="str">
        <f t="array" ref="AE73">IF(W73="","", INDEX(Other!G:G, MATCH(W73, Other!B:B,0)))</f>
        <v/>
      </c>
      <c r="AF73" s="42"/>
      <c r="AG73" s="299"/>
      <c r="AH73" s="301" t="str">
        <f t="array" ref="AH73">IF(W73="","", INDEX(Other!H:H, MATCH(W73, Other!B:B,0)))</f>
        <v/>
      </c>
      <c r="AI73" s="42"/>
      <c r="AJ73" s="42"/>
      <c r="AK73" s="299"/>
      <c r="AL73" s="301" t="str">
        <f t="shared" si="2"/>
        <v/>
      </c>
      <c r="AM73" s="42"/>
      <c r="AN73" s="42"/>
      <c r="AO73" s="44"/>
      <c r="AP73" s="114"/>
      <c r="AQ73" s="83"/>
      <c r="AR73" s="83"/>
      <c r="AS73" s="83"/>
      <c r="AT73" s="83"/>
      <c r="AU73" s="83"/>
      <c r="AV73" s="83"/>
      <c r="AW73" s="83"/>
      <c r="AX73" s="83"/>
      <c r="AY73" s="83"/>
      <c r="AZ73" s="83"/>
      <c r="BA73" s="83"/>
      <c r="BB73" s="83"/>
    </row>
    <row r="74">
      <c r="A74" s="101"/>
      <c r="B74" s="298"/>
      <c r="C74" s="42"/>
      <c r="D74" s="42"/>
      <c r="E74" s="42"/>
      <c r="F74" s="299"/>
      <c r="G74" s="300"/>
      <c r="H74" s="42"/>
      <c r="I74" s="299"/>
      <c r="J74" s="301" t="str">
        <f t="array" ref="J74">IF(B74="","", INDEX(Ingredients!G:G, MATCH(B74, Ingredients!B:B,0)))</f>
        <v/>
      </c>
      <c r="K74" s="42"/>
      <c r="L74" s="299"/>
      <c r="M74" s="301" t="str">
        <f t="array" ref="M74">IF(B74="","", INDEX(Ingredients!H:H, MATCH(B74, Ingredients!B:B,0)))</f>
        <v/>
      </c>
      <c r="N74" s="42"/>
      <c r="O74" s="42"/>
      <c r="P74" s="299"/>
      <c r="Q74" s="302" t="str">
        <f t="shared" si="1"/>
        <v/>
      </c>
      <c r="R74" s="42"/>
      <c r="S74" s="42"/>
      <c r="T74" s="44"/>
      <c r="U74" s="114"/>
      <c r="V74" s="101"/>
      <c r="W74" s="298"/>
      <c r="X74" s="42"/>
      <c r="Y74" s="42"/>
      <c r="Z74" s="42"/>
      <c r="AA74" s="299"/>
      <c r="AB74" s="300"/>
      <c r="AC74" s="42"/>
      <c r="AD74" s="299"/>
      <c r="AE74" s="301" t="str">
        <f t="array" ref="AE74">IF(W74="","", INDEX(Other!G:G, MATCH(W74, Other!B:B,0)))</f>
        <v/>
      </c>
      <c r="AF74" s="42"/>
      <c r="AG74" s="299"/>
      <c r="AH74" s="301" t="str">
        <f t="array" ref="AH74">IF(W74="","", INDEX(Other!H:H, MATCH(W74, Other!B:B,0)))</f>
        <v/>
      </c>
      <c r="AI74" s="42"/>
      <c r="AJ74" s="42"/>
      <c r="AK74" s="299"/>
      <c r="AL74" s="301" t="str">
        <f t="shared" si="2"/>
        <v/>
      </c>
      <c r="AM74" s="42"/>
      <c r="AN74" s="42"/>
      <c r="AO74" s="44"/>
      <c r="AP74" s="114"/>
      <c r="AQ74" s="83"/>
      <c r="AR74" s="83"/>
      <c r="AS74" s="83"/>
      <c r="AT74" s="83"/>
      <c r="AU74" s="83"/>
      <c r="AV74" s="83"/>
      <c r="AW74" s="83"/>
      <c r="AX74" s="83"/>
      <c r="AY74" s="83"/>
      <c r="AZ74" s="83"/>
      <c r="BA74" s="83"/>
      <c r="BB74" s="83"/>
    </row>
    <row r="75">
      <c r="A75" s="101"/>
      <c r="B75" s="298"/>
      <c r="C75" s="42"/>
      <c r="D75" s="42"/>
      <c r="E75" s="42"/>
      <c r="F75" s="299"/>
      <c r="G75" s="300"/>
      <c r="H75" s="42"/>
      <c r="I75" s="299"/>
      <c r="J75" s="301" t="str">
        <f t="array" ref="J75">IF(B75="","", INDEX(Ingredients!G:G, MATCH(B75, Ingredients!B:B,0)))</f>
        <v/>
      </c>
      <c r="K75" s="42"/>
      <c r="L75" s="299"/>
      <c r="M75" s="301" t="str">
        <f t="array" ref="M75">IF(B75="","", INDEX(Ingredients!H:H, MATCH(B75, Ingredients!B:B,0)))</f>
        <v/>
      </c>
      <c r="N75" s="42"/>
      <c r="O75" s="42"/>
      <c r="P75" s="299"/>
      <c r="Q75" s="302" t="str">
        <f t="shared" si="1"/>
        <v/>
      </c>
      <c r="R75" s="42"/>
      <c r="S75" s="42"/>
      <c r="T75" s="44"/>
      <c r="U75" s="114"/>
      <c r="V75" s="101"/>
      <c r="W75" s="298"/>
      <c r="X75" s="42"/>
      <c r="Y75" s="42"/>
      <c r="Z75" s="42"/>
      <c r="AA75" s="299"/>
      <c r="AB75" s="300"/>
      <c r="AC75" s="42"/>
      <c r="AD75" s="299"/>
      <c r="AE75" s="301" t="str">
        <f t="array" ref="AE75">IF(W75="","", INDEX(Other!G:G, MATCH(W75, Other!B:B,0)))</f>
        <v/>
      </c>
      <c r="AF75" s="42"/>
      <c r="AG75" s="299"/>
      <c r="AH75" s="301" t="str">
        <f t="array" ref="AH75">IF(W75="","", INDEX(Other!H:H, MATCH(W75, Other!B:B,0)))</f>
        <v/>
      </c>
      <c r="AI75" s="42"/>
      <c r="AJ75" s="42"/>
      <c r="AK75" s="299"/>
      <c r="AL75" s="301" t="str">
        <f t="shared" si="2"/>
        <v/>
      </c>
      <c r="AM75" s="42"/>
      <c r="AN75" s="42"/>
      <c r="AO75" s="44"/>
      <c r="AP75" s="114"/>
      <c r="AQ75" s="83"/>
      <c r="AR75" s="83"/>
      <c r="AS75" s="83"/>
      <c r="AT75" s="83"/>
      <c r="AU75" s="83"/>
      <c r="AV75" s="83"/>
      <c r="AW75" s="83"/>
      <c r="AX75" s="83"/>
      <c r="AY75" s="83"/>
      <c r="AZ75" s="83"/>
      <c r="BA75" s="83"/>
      <c r="BB75" s="83"/>
    </row>
    <row r="76">
      <c r="A76" s="101"/>
      <c r="B76" s="298"/>
      <c r="C76" s="42"/>
      <c r="D76" s="42"/>
      <c r="E76" s="42"/>
      <c r="F76" s="299"/>
      <c r="G76" s="300"/>
      <c r="H76" s="42"/>
      <c r="I76" s="299"/>
      <c r="J76" s="301" t="str">
        <f t="array" ref="J76">IF(B76="","", INDEX(Ingredients!G:G, MATCH(B76, Ingredients!B:B,0)))</f>
        <v/>
      </c>
      <c r="K76" s="42"/>
      <c r="L76" s="299"/>
      <c r="M76" s="301" t="str">
        <f t="array" ref="M76">IF(B76="","", INDEX(Ingredients!H:H, MATCH(B76, Ingredients!B:B,0)))</f>
        <v/>
      </c>
      <c r="N76" s="42"/>
      <c r="O76" s="42"/>
      <c r="P76" s="299"/>
      <c r="Q76" s="302" t="str">
        <f t="shared" si="1"/>
        <v/>
      </c>
      <c r="R76" s="42"/>
      <c r="S76" s="42"/>
      <c r="T76" s="44"/>
      <c r="U76" s="114"/>
      <c r="V76" s="101"/>
      <c r="W76" s="298"/>
      <c r="X76" s="42"/>
      <c r="Y76" s="42"/>
      <c r="Z76" s="42"/>
      <c r="AA76" s="299"/>
      <c r="AB76" s="300"/>
      <c r="AC76" s="42"/>
      <c r="AD76" s="299"/>
      <c r="AE76" s="301" t="str">
        <f t="array" ref="AE76">IF(W76="","", INDEX(Other!G:G, MATCH(W76, Other!B:B,0)))</f>
        <v/>
      </c>
      <c r="AF76" s="42"/>
      <c r="AG76" s="299"/>
      <c r="AH76" s="301" t="str">
        <f t="array" ref="AH76">IF(W76="","", INDEX(Other!H:H, MATCH(W76, Other!B:B,0)))</f>
        <v/>
      </c>
      <c r="AI76" s="42"/>
      <c r="AJ76" s="42"/>
      <c r="AK76" s="299"/>
      <c r="AL76" s="301" t="str">
        <f t="shared" si="2"/>
        <v/>
      </c>
      <c r="AM76" s="42"/>
      <c r="AN76" s="42"/>
      <c r="AO76" s="44"/>
      <c r="AP76" s="114"/>
      <c r="AQ76" s="83"/>
      <c r="AR76" s="83"/>
      <c r="AS76" s="83"/>
      <c r="AT76" s="83"/>
      <c r="AU76" s="83"/>
      <c r="AV76" s="83"/>
      <c r="AW76" s="83"/>
      <c r="AX76" s="83"/>
      <c r="AY76" s="83"/>
      <c r="AZ76" s="83"/>
      <c r="BA76" s="83"/>
      <c r="BB76" s="83"/>
    </row>
    <row r="77">
      <c r="A77" s="101"/>
      <c r="B77" s="298"/>
      <c r="C77" s="42"/>
      <c r="D77" s="42"/>
      <c r="E77" s="42"/>
      <c r="F77" s="299"/>
      <c r="G77" s="300"/>
      <c r="H77" s="42"/>
      <c r="I77" s="299"/>
      <c r="J77" s="301" t="str">
        <f t="array" ref="J77">IF(B77="","", INDEX(Ingredients!G:G, MATCH(B77, Ingredients!B:B,0)))</f>
        <v/>
      </c>
      <c r="K77" s="42"/>
      <c r="L77" s="299"/>
      <c r="M77" s="301" t="str">
        <f t="array" ref="M77">IF(B77="","", INDEX(Ingredients!H:H, MATCH(B77, Ingredients!B:B,0)))</f>
        <v/>
      </c>
      <c r="N77" s="42"/>
      <c r="O77" s="42"/>
      <c r="P77" s="299"/>
      <c r="Q77" s="302" t="str">
        <f t="shared" si="1"/>
        <v/>
      </c>
      <c r="R77" s="42"/>
      <c r="S77" s="42"/>
      <c r="T77" s="44"/>
      <c r="U77" s="114"/>
      <c r="V77" s="101"/>
      <c r="W77" s="298"/>
      <c r="X77" s="42"/>
      <c r="Y77" s="42"/>
      <c r="Z77" s="42"/>
      <c r="AA77" s="299"/>
      <c r="AB77" s="300"/>
      <c r="AC77" s="42"/>
      <c r="AD77" s="299"/>
      <c r="AE77" s="301" t="str">
        <f t="array" ref="AE77">IF(W77="","", INDEX(Other!G:G, MATCH(W77, Other!B:B,0)))</f>
        <v/>
      </c>
      <c r="AF77" s="42"/>
      <c r="AG77" s="299"/>
      <c r="AH77" s="301" t="str">
        <f t="array" ref="AH77">IF(W77="","", INDEX(Other!H:H, MATCH(W77, Other!B:B,0)))</f>
        <v/>
      </c>
      <c r="AI77" s="42"/>
      <c r="AJ77" s="42"/>
      <c r="AK77" s="299"/>
      <c r="AL77" s="301" t="str">
        <f t="shared" si="2"/>
        <v/>
      </c>
      <c r="AM77" s="42"/>
      <c r="AN77" s="42"/>
      <c r="AO77" s="44"/>
      <c r="AP77" s="114"/>
      <c r="AQ77" s="83"/>
      <c r="AR77" s="83"/>
      <c r="AS77" s="83"/>
      <c r="AT77" s="83"/>
      <c r="AU77" s="83"/>
      <c r="AV77" s="83"/>
      <c r="AW77" s="83"/>
      <c r="AX77" s="83"/>
      <c r="AY77" s="83"/>
      <c r="AZ77" s="83"/>
      <c r="BA77" s="83"/>
      <c r="BB77" s="83"/>
    </row>
    <row r="78">
      <c r="A78" s="101"/>
      <c r="B78" s="298"/>
      <c r="C78" s="42"/>
      <c r="D78" s="42"/>
      <c r="E78" s="42"/>
      <c r="F78" s="299"/>
      <c r="G78" s="300"/>
      <c r="H78" s="42"/>
      <c r="I78" s="299"/>
      <c r="J78" s="301" t="str">
        <f t="array" ref="J78">IF(B78="","", INDEX(Ingredients!G:G, MATCH(B78, Ingredients!B:B,0)))</f>
        <v/>
      </c>
      <c r="K78" s="42"/>
      <c r="L78" s="299"/>
      <c r="M78" s="301" t="str">
        <f t="array" ref="M78">IF(B78="","", INDEX(Ingredients!H:H, MATCH(B78, Ingredients!B:B,0)))</f>
        <v/>
      </c>
      <c r="N78" s="42"/>
      <c r="O78" s="42"/>
      <c r="P78" s="299"/>
      <c r="Q78" s="302" t="str">
        <f t="shared" si="1"/>
        <v/>
      </c>
      <c r="R78" s="42"/>
      <c r="S78" s="42"/>
      <c r="T78" s="44"/>
      <c r="U78" s="114"/>
      <c r="V78" s="101"/>
      <c r="W78" s="298"/>
      <c r="X78" s="42"/>
      <c r="Y78" s="42"/>
      <c r="Z78" s="42"/>
      <c r="AA78" s="299"/>
      <c r="AB78" s="300"/>
      <c r="AC78" s="42"/>
      <c r="AD78" s="299"/>
      <c r="AE78" s="301" t="str">
        <f t="array" ref="AE78">IF(W78="","", INDEX(Other!G:G, MATCH(W78, Other!B:B,0)))</f>
        <v/>
      </c>
      <c r="AF78" s="42"/>
      <c r="AG78" s="299"/>
      <c r="AH78" s="301" t="str">
        <f t="array" ref="AH78">IF(W78="","", INDEX(Other!H:H, MATCH(W78, Other!B:B,0)))</f>
        <v/>
      </c>
      <c r="AI78" s="42"/>
      <c r="AJ78" s="42"/>
      <c r="AK78" s="299"/>
      <c r="AL78" s="301" t="str">
        <f t="shared" si="2"/>
        <v/>
      </c>
      <c r="AM78" s="42"/>
      <c r="AN78" s="42"/>
      <c r="AO78" s="44"/>
      <c r="AP78" s="114"/>
      <c r="AQ78" s="83"/>
      <c r="AR78" s="83"/>
      <c r="AS78" s="83"/>
      <c r="AT78" s="83"/>
      <c r="AU78" s="83"/>
      <c r="AV78" s="83"/>
      <c r="AW78" s="83"/>
      <c r="AX78" s="83"/>
      <c r="AY78" s="83"/>
      <c r="AZ78" s="83"/>
      <c r="BA78" s="83"/>
      <c r="BB78" s="83"/>
    </row>
    <row r="79">
      <c r="A79" s="101"/>
      <c r="B79" s="298"/>
      <c r="C79" s="42"/>
      <c r="D79" s="42"/>
      <c r="E79" s="42"/>
      <c r="F79" s="299"/>
      <c r="G79" s="300"/>
      <c r="H79" s="42"/>
      <c r="I79" s="299"/>
      <c r="J79" s="301" t="str">
        <f t="array" ref="J79">IF(B79="","", INDEX(Ingredients!G:G, MATCH(B79, Ingredients!B:B,0)))</f>
        <v/>
      </c>
      <c r="K79" s="42"/>
      <c r="L79" s="299"/>
      <c r="M79" s="301" t="str">
        <f t="array" ref="M79">IF(B79="","", INDEX(Ingredients!H:H, MATCH(B79, Ingredients!B:B,0)))</f>
        <v/>
      </c>
      <c r="N79" s="42"/>
      <c r="O79" s="42"/>
      <c r="P79" s="299"/>
      <c r="Q79" s="302" t="str">
        <f t="shared" si="1"/>
        <v/>
      </c>
      <c r="R79" s="42"/>
      <c r="S79" s="42"/>
      <c r="T79" s="44"/>
      <c r="U79" s="114"/>
      <c r="V79" s="101"/>
      <c r="W79" s="298"/>
      <c r="X79" s="42"/>
      <c r="Y79" s="42"/>
      <c r="Z79" s="42"/>
      <c r="AA79" s="299"/>
      <c r="AB79" s="300"/>
      <c r="AC79" s="42"/>
      <c r="AD79" s="299"/>
      <c r="AE79" s="301" t="str">
        <f t="array" ref="AE79">IF(W79="","", INDEX(Other!G:G, MATCH(W79, Other!B:B,0)))</f>
        <v/>
      </c>
      <c r="AF79" s="42"/>
      <c r="AG79" s="299"/>
      <c r="AH79" s="301" t="str">
        <f t="array" ref="AH79">IF(W79="","", INDEX(Other!H:H, MATCH(W79, Other!B:B,0)))</f>
        <v/>
      </c>
      <c r="AI79" s="42"/>
      <c r="AJ79" s="42"/>
      <c r="AK79" s="299"/>
      <c r="AL79" s="301" t="str">
        <f t="shared" si="2"/>
        <v/>
      </c>
      <c r="AM79" s="42"/>
      <c r="AN79" s="42"/>
      <c r="AO79" s="44"/>
      <c r="AP79" s="114"/>
      <c r="AQ79" s="83"/>
      <c r="AR79" s="83"/>
      <c r="AS79" s="83"/>
      <c r="AT79" s="83"/>
      <c r="AU79" s="83"/>
      <c r="AV79" s="83"/>
      <c r="AW79" s="83"/>
      <c r="AX79" s="83"/>
      <c r="AY79" s="83"/>
      <c r="AZ79" s="83"/>
      <c r="BA79" s="83"/>
      <c r="BB79" s="83"/>
    </row>
    <row r="80">
      <c r="A80" s="101"/>
      <c r="B80" s="298"/>
      <c r="C80" s="42"/>
      <c r="D80" s="42"/>
      <c r="E80" s="42"/>
      <c r="F80" s="299"/>
      <c r="G80" s="300"/>
      <c r="H80" s="42"/>
      <c r="I80" s="299"/>
      <c r="J80" s="301" t="str">
        <f t="array" ref="J80">IF(B80="","", INDEX(Ingredients!G:G, MATCH(B80, Ingredients!B:B,0)))</f>
        <v/>
      </c>
      <c r="K80" s="42"/>
      <c r="L80" s="299"/>
      <c r="M80" s="301" t="str">
        <f t="array" ref="M80">IF(B80="","", INDEX(Ingredients!H:H, MATCH(B80, Ingredients!B:B,0)))</f>
        <v/>
      </c>
      <c r="N80" s="42"/>
      <c r="O80" s="42"/>
      <c r="P80" s="299"/>
      <c r="Q80" s="302" t="str">
        <f t="shared" si="1"/>
        <v/>
      </c>
      <c r="R80" s="42"/>
      <c r="S80" s="42"/>
      <c r="T80" s="44"/>
      <c r="U80" s="114"/>
      <c r="V80" s="101"/>
      <c r="W80" s="298"/>
      <c r="X80" s="42"/>
      <c r="Y80" s="42"/>
      <c r="Z80" s="42"/>
      <c r="AA80" s="299"/>
      <c r="AB80" s="300"/>
      <c r="AC80" s="42"/>
      <c r="AD80" s="299"/>
      <c r="AE80" s="301" t="str">
        <f t="array" ref="AE80">IF(W80="","", INDEX(Other!G:G, MATCH(W80, Other!B:B,0)))</f>
        <v/>
      </c>
      <c r="AF80" s="42"/>
      <c r="AG80" s="299"/>
      <c r="AH80" s="301" t="str">
        <f t="array" ref="AH80">IF(W80="","", INDEX(Other!H:H, MATCH(W80, Other!B:B,0)))</f>
        <v/>
      </c>
      <c r="AI80" s="42"/>
      <c r="AJ80" s="42"/>
      <c r="AK80" s="299"/>
      <c r="AL80" s="301" t="str">
        <f t="shared" si="2"/>
        <v/>
      </c>
      <c r="AM80" s="42"/>
      <c r="AN80" s="42"/>
      <c r="AO80" s="44"/>
      <c r="AP80" s="114"/>
      <c r="AQ80" s="83"/>
      <c r="AR80" s="83"/>
      <c r="AS80" s="83"/>
      <c r="AT80" s="83"/>
      <c r="AU80" s="83"/>
      <c r="AV80" s="83"/>
      <c r="AW80" s="83"/>
      <c r="AX80" s="83"/>
      <c r="AY80" s="83"/>
      <c r="AZ80" s="83"/>
      <c r="BA80" s="83"/>
      <c r="BB80" s="83"/>
    </row>
    <row r="81">
      <c r="A81" s="101"/>
      <c r="B81" s="298"/>
      <c r="C81" s="42"/>
      <c r="D81" s="42"/>
      <c r="E81" s="42"/>
      <c r="F81" s="299"/>
      <c r="G81" s="300"/>
      <c r="H81" s="42"/>
      <c r="I81" s="299"/>
      <c r="J81" s="301" t="str">
        <f t="array" ref="J81">IF(B81="","", INDEX(Ingredients!G:G, MATCH(B81, Ingredients!B:B,0)))</f>
        <v/>
      </c>
      <c r="K81" s="42"/>
      <c r="L81" s="299"/>
      <c r="M81" s="301" t="str">
        <f t="array" ref="M81">IF(B81="","", INDEX(Ingredients!H:H, MATCH(B81, Ingredients!B:B,0)))</f>
        <v/>
      </c>
      <c r="N81" s="42"/>
      <c r="O81" s="42"/>
      <c r="P81" s="299"/>
      <c r="Q81" s="302" t="str">
        <f t="shared" si="1"/>
        <v/>
      </c>
      <c r="R81" s="42"/>
      <c r="S81" s="42"/>
      <c r="T81" s="44"/>
      <c r="U81" s="114"/>
      <c r="V81" s="101"/>
      <c r="W81" s="298"/>
      <c r="X81" s="42"/>
      <c r="Y81" s="42"/>
      <c r="Z81" s="42"/>
      <c r="AA81" s="299"/>
      <c r="AB81" s="300"/>
      <c r="AC81" s="42"/>
      <c r="AD81" s="299"/>
      <c r="AE81" s="301" t="str">
        <f t="array" ref="AE81">IF(W81="","", INDEX(Other!G:G, MATCH(W81, Other!B:B,0)))</f>
        <v/>
      </c>
      <c r="AF81" s="42"/>
      <c r="AG81" s="299"/>
      <c r="AH81" s="301" t="str">
        <f t="array" ref="AH81">IF(W81="","", INDEX(Other!H:H, MATCH(W81, Other!B:B,0)))</f>
        <v/>
      </c>
      <c r="AI81" s="42"/>
      <c r="AJ81" s="42"/>
      <c r="AK81" s="299"/>
      <c r="AL81" s="301" t="str">
        <f t="shared" si="2"/>
        <v/>
      </c>
      <c r="AM81" s="42"/>
      <c r="AN81" s="42"/>
      <c r="AO81" s="44"/>
      <c r="AP81" s="114"/>
      <c r="AQ81" s="83"/>
      <c r="AR81" s="83"/>
      <c r="AS81" s="83"/>
      <c r="AT81" s="83"/>
      <c r="AU81" s="83"/>
      <c r="AV81" s="83"/>
      <c r="AW81" s="83"/>
      <c r="AX81" s="83"/>
      <c r="AY81" s="83"/>
      <c r="AZ81" s="83"/>
      <c r="BA81" s="83"/>
      <c r="BB81" s="83"/>
    </row>
    <row r="82">
      <c r="A82" s="101"/>
      <c r="B82" s="298"/>
      <c r="C82" s="42"/>
      <c r="D82" s="42"/>
      <c r="E82" s="42"/>
      <c r="F82" s="299"/>
      <c r="G82" s="300"/>
      <c r="H82" s="42"/>
      <c r="I82" s="299"/>
      <c r="J82" s="301" t="str">
        <f t="array" ref="J82">IF(B82="","", INDEX(Ingredients!G:G, MATCH(B82, Ingredients!B:B,0)))</f>
        <v/>
      </c>
      <c r="K82" s="42"/>
      <c r="L82" s="299"/>
      <c r="M82" s="301" t="str">
        <f t="array" ref="M82">IF(B82="","", INDEX(Ingredients!H:H, MATCH(B82, Ingredients!B:B,0)))</f>
        <v/>
      </c>
      <c r="N82" s="42"/>
      <c r="O82" s="42"/>
      <c r="P82" s="299"/>
      <c r="Q82" s="302" t="str">
        <f t="shared" si="1"/>
        <v/>
      </c>
      <c r="R82" s="42"/>
      <c r="S82" s="42"/>
      <c r="T82" s="44"/>
      <c r="U82" s="114"/>
      <c r="V82" s="101"/>
      <c r="W82" s="298"/>
      <c r="X82" s="42"/>
      <c r="Y82" s="42"/>
      <c r="Z82" s="42"/>
      <c r="AA82" s="299"/>
      <c r="AB82" s="300"/>
      <c r="AC82" s="42"/>
      <c r="AD82" s="299"/>
      <c r="AE82" s="301" t="str">
        <f t="array" ref="AE82">IF(W82="","", INDEX(Other!G:G, MATCH(W82, Other!B:B,0)))</f>
        <v/>
      </c>
      <c r="AF82" s="42"/>
      <c r="AG82" s="299"/>
      <c r="AH82" s="301" t="str">
        <f t="array" ref="AH82">IF(W82="","", INDEX(Other!H:H, MATCH(W82, Other!B:B,0)))</f>
        <v/>
      </c>
      <c r="AI82" s="42"/>
      <c r="AJ82" s="42"/>
      <c r="AK82" s="299"/>
      <c r="AL82" s="301" t="str">
        <f t="shared" si="2"/>
        <v/>
      </c>
      <c r="AM82" s="42"/>
      <c r="AN82" s="42"/>
      <c r="AO82" s="44"/>
      <c r="AP82" s="114"/>
      <c r="AQ82" s="83"/>
      <c r="AR82" s="83"/>
      <c r="AS82" s="83"/>
      <c r="AT82" s="83"/>
      <c r="AU82" s="83"/>
      <c r="AV82" s="83"/>
      <c r="AW82" s="83"/>
      <c r="AX82" s="83"/>
      <c r="AY82" s="83"/>
      <c r="AZ82" s="83"/>
      <c r="BA82" s="83"/>
      <c r="BB82" s="83"/>
    </row>
    <row r="83">
      <c r="A83" s="101"/>
      <c r="B83" s="298"/>
      <c r="C83" s="42"/>
      <c r="D83" s="42"/>
      <c r="E83" s="42"/>
      <c r="F83" s="299"/>
      <c r="G83" s="300"/>
      <c r="H83" s="42"/>
      <c r="I83" s="299"/>
      <c r="J83" s="301" t="str">
        <f t="array" ref="J83">IF(B83="","", INDEX(Ingredients!G:G, MATCH(B83, Ingredients!B:B,0)))</f>
        <v/>
      </c>
      <c r="K83" s="42"/>
      <c r="L83" s="299"/>
      <c r="M83" s="301" t="str">
        <f t="array" ref="M83">IF(B83="","", INDEX(Ingredients!H:H, MATCH(B83, Ingredients!B:B,0)))</f>
        <v/>
      </c>
      <c r="N83" s="42"/>
      <c r="O83" s="42"/>
      <c r="P83" s="299"/>
      <c r="Q83" s="302" t="str">
        <f t="shared" si="1"/>
        <v/>
      </c>
      <c r="R83" s="42"/>
      <c r="S83" s="42"/>
      <c r="T83" s="44"/>
      <c r="U83" s="114"/>
      <c r="V83" s="101"/>
      <c r="W83" s="298"/>
      <c r="X83" s="42"/>
      <c r="Y83" s="42"/>
      <c r="Z83" s="42"/>
      <c r="AA83" s="299"/>
      <c r="AB83" s="300"/>
      <c r="AC83" s="42"/>
      <c r="AD83" s="299"/>
      <c r="AE83" s="301" t="str">
        <f t="array" ref="AE83">IF(W83="","", INDEX(Other!G:G, MATCH(W83, Other!B:B,0)))</f>
        <v/>
      </c>
      <c r="AF83" s="42"/>
      <c r="AG83" s="299"/>
      <c r="AH83" s="301" t="str">
        <f t="array" ref="AH83">IF(W83="","", INDEX(Other!H:H, MATCH(W83, Other!B:B,0)))</f>
        <v/>
      </c>
      <c r="AI83" s="42"/>
      <c r="AJ83" s="42"/>
      <c r="AK83" s="299"/>
      <c r="AL83" s="301" t="str">
        <f t="shared" si="2"/>
        <v/>
      </c>
      <c r="AM83" s="42"/>
      <c r="AN83" s="42"/>
      <c r="AO83" s="44"/>
      <c r="AP83" s="114"/>
      <c r="AQ83" s="83"/>
      <c r="AR83" s="83"/>
      <c r="AS83" s="83"/>
      <c r="AT83" s="83"/>
      <c r="AU83" s="83"/>
      <c r="AV83" s="83"/>
      <c r="AW83" s="83"/>
      <c r="AX83" s="83"/>
      <c r="AY83" s="83"/>
      <c r="AZ83" s="83"/>
      <c r="BA83" s="83"/>
      <c r="BB83" s="83"/>
    </row>
    <row r="84">
      <c r="A84" s="101"/>
      <c r="B84" s="298"/>
      <c r="C84" s="42"/>
      <c r="D84" s="42"/>
      <c r="E84" s="42"/>
      <c r="F84" s="299"/>
      <c r="G84" s="300"/>
      <c r="H84" s="42"/>
      <c r="I84" s="299"/>
      <c r="J84" s="301" t="str">
        <f t="array" ref="J84">IF(B84="","", INDEX(Ingredients!G:G, MATCH(B84, Ingredients!B:B,0)))</f>
        <v/>
      </c>
      <c r="K84" s="42"/>
      <c r="L84" s="299"/>
      <c r="M84" s="301" t="str">
        <f t="array" ref="M84">IF(B84="","", INDEX(Ingredients!H:H, MATCH(B84, Ingredients!B:B,0)))</f>
        <v/>
      </c>
      <c r="N84" s="42"/>
      <c r="O84" s="42"/>
      <c r="P84" s="299"/>
      <c r="Q84" s="302" t="str">
        <f t="shared" si="1"/>
        <v/>
      </c>
      <c r="R84" s="42"/>
      <c r="S84" s="42"/>
      <c r="T84" s="44"/>
      <c r="U84" s="114"/>
      <c r="V84" s="101"/>
      <c r="W84" s="298"/>
      <c r="X84" s="42"/>
      <c r="Y84" s="42"/>
      <c r="Z84" s="42"/>
      <c r="AA84" s="299"/>
      <c r="AB84" s="300"/>
      <c r="AC84" s="42"/>
      <c r="AD84" s="299"/>
      <c r="AE84" s="301" t="str">
        <f t="array" ref="AE84">IF(W84="","", INDEX(Other!G:G, MATCH(W84, Other!B:B,0)))</f>
        <v/>
      </c>
      <c r="AF84" s="42"/>
      <c r="AG84" s="299"/>
      <c r="AH84" s="301" t="str">
        <f t="array" ref="AH84">IF(W84="","", INDEX(Other!H:H, MATCH(W84, Other!B:B,0)))</f>
        <v/>
      </c>
      <c r="AI84" s="42"/>
      <c r="AJ84" s="42"/>
      <c r="AK84" s="299"/>
      <c r="AL84" s="301" t="str">
        <f t="shared" si="2"/>
        <v/>
      </c>
      <c r="AM84" s="42"/>
      <c r="AN84" s="42"/>
      <c r="AO84" s="44"/>
      <c r="AP84" s="114"/>
      <c r="AQ84" s="83"/>
      <c r="AR84" s="83"/>
      <c r="AS84" s="83"/>
      <c r="AT84" s="83"/>
      <c r="AU84" s="83"/>
      <c r="AV84" s="83"/>
      <c r="AW84" s="83"/>
      <c r="AX84" s="83"/>
      <c r="AY84" s="83"/>
      <c r="AZ84" s="83"/>
      <c r="BA84" s="83"/>
      <c r="BB84" s="83"/>
    </row>
    <row r="85">
      <c r="A85" s="101"/>
      <c r="B85" s="298"/>
      <c r="C85" s="42"/>
      <c r="D85" s="42"/>
      <c r="E85" s="42"/>
      <c r="F85" s="299"/>
      <c r="G85" s="300"/>
      <c r="H85" s="42"/>
      <c r="I85" s="299"/>
      <c r="J85" s="301" t="str">
        <f t="array" ref="J85">IF(B85="","", INDEX(Ingredients!G:G, MATCH(B85, Ingredients!B:B,0)))</f>
        <v/>
      </c>
      <c r="K85" s="42"/>
      <c r="L85" s="299"/>
      <c r="M85" s="301" t="str">
        <f t="array" ref="M85">IF(B85="","", INDEX(Ingredients!H:H, MATCH(B85, Ingredients!B:B,0)))</f>
        <v/>
      </c>
      <c r="N85" s="42"/>
      <c r="O85" s="42"/>
      <c r="P85" s="299"/>
      <c r="Q85" s="302" t="str">
        <f t="shared" si="1"/>
        <v/>
      </c>
      <c r="R85" s="42"/>
      <c r="S85" s="42"/>
      <c r="T85" s="44"/>
      <c r="U85" s="114"/>
      <c r="V85" s="101"/>
      <c r="W85" s="298"/>
      <c r="X85" s="42"/>
      <c r="Y85" s="42"/>
      <c r="Z85" s="42"/>
      <c r="AA85" s="299"/>
      <c r="AB85" s="300"/>
      <c r="AC85" s="42"/>
      <c r="AD85" s="299"/>
      <c r="AE85" s="301" t="str">
        <f t="array" ref="AE85">IF(W85="","", INDEX(Other!G:G, MATCH(W85, Other!B:B,0)))</f>
        <v/>
      </c>
      <c r="AF85" s="42"/>
      <c r="AG85" s="299"/>
      <c r="AH85" s="301" t="str">
        <f t="array" ref="AH85">IF(W85="","", INDEX(Other!H:H, MATCH(W85, Other!B:B,0)))</f>
        <v/>
      </c>
      <c r="AI85" s="42"/>
      <c r="AJ85" s="42"/>
      <c r="AK85" s="299"/>
      <c r="AL85" s="301" t="str">
        <f t="shared" si="2"/>
        <v/>
      </c>
      <c r="AM85" s="42"/>
      <c r="AN85" s="42"/>
      <c r="AO85" s="44"/>
      <c r="AP85" s="114"/>
      <c r="AQ85" s="83"/>
      <c r="AR85" s="83"/>
      <c r="AS85" s="83"/>
      <c r="AT85" s="83"/>
      <c r="AU85" s="83"/>
      <c r="AV85" s="83"/>
      <c r="AW85" s="83"/>
      <c r="AX85" s="83"/>
      <c r="AY85" s="83"/>
      <c r="AZ85" s="83"/>
      <c r="BA85" s="83"/>
      <c r="BB85" s="83"/>
    </row>
    <row r="86">
      <c r="A86" s="101"/>
      <c r="B86" s="298"/>
      <c r="C86" s="42"/>
      <c r="D86" s="42"/>
      <c r="E86" s="42"/>
      <c r="F86" s="299"/>
      <c r="G86" s="300"/>
      <c r="H86" s="42"/>
      <c r="I86" s="299"/>
      <c r="J86" s="301" t="str">
        <f t="array" ref="J86">IF(B86="","", INDEX(Ingredients!G:G, MATCH(B86, Ingredients!B:B,0)))</f>
        <v/>
      </c>
      <c r="K86" s="42"/>
      <c r="L86" s="299"/>
      <c r="M86" s="301" t="str">
        <f t="array" ref="M86">IF(B86="","", INDEX(Ingredients!H:H, MATCH(B86, Ingredients!B:B,0)))</f>
        <v/>
      </c>
      <c r="N86" s="42"/>
      <c r="O86" s="42"/>
      <c r="P86" s="299"/>
      <c r="Q86" s="302" t="str">
        <f t="shared" si="1"/>
        <v/>
      </c>
      <c r="R86" s="42"/>
      <c r="S86" s="42"/>
      <c r="T86" s="44"/>
      <c r="U86" s="114"/>
      <c r="V86" s="101"/>
      <c r="W86" s="298"/>
      <c r="X86" s="42"/>
      <c r="Y86" s="42"/>
      <c r="Z86" s="42"/>
      <c r="AA86" s="299"/>
      <c r="AB86" s="300"/>
      <c r="AC86" s="42"/>
      <c r="AD86" s="299"/>
      <c r="AE86" s="301" t="str">
        <f t="array" ref="AE86">IF(W86="","", INDEX(Other!G:G, MATCH(W86, Other!B:B,0)))</f>
        <v/>
      </c>
      <c r="AF86" s="42"/>
      <c r="AG86" s="299"/>
      <c r="AH86" s="301" t="str">
        <f t="array" ref="AH86">IF(W86="","", INDEX(Other!H:H, MATCH(W86, Other!B:B,0)))</f>
        <v/>
      </c>
      <c r="AI86" s="42"/>
      <c r="AJ86" s="42"/>
      <c r="AK86" s="299"/>
      <c r="AL86" s="301" t="str">
        <f t="shared" si="2"/>
        <v/>
      </c>
      <c r="AM86" s="42"/>
      <c r="AN86" s="42"/>
      <c r="AO86" s="44"/>
      <c r="AP86" s="114"/>
      <c r="AQ86" s="83"/>
      <c r="AR86" s="83"/>
      <c r="AS86" s="83"/>
      <c r="AT86" s="83"/>
      <c r="AU86" s="83"/>
      <c r="AV86" s="83"/>
      <c r="AW86" s="83"/>
      <c r="AX86" s="83"/>
      <c r="AY86" s="83"/>
      <c r="AZ86" s="83"/>
      <c r="BA86" s="83"/>
      <c r="BB86" s="83"/>
    </row>
    <row r="87">
      <c r="A87" s="101"/>
      <c r="B87" s="298"/>
      <c r="C87" s="42"/>
      <c r="D87" s="42"/>
      <c r="E87" s="42"/>
      <c r="F87" s="299"/>
      <c r="G87" s="300"/>
      <c r="H87" s="42"/>
      <c r="I87" s="299"/>
      <c r="J87" s="301" t="str">
        <f t="array" ref="J87">IF(B87="","", INDEX(Ingredients!G:G, MATCH(B87, Ingredients!B:B,0)))</f>
        <v/>
      </c>
      <c r="K87" s="42"/>
      <c r="L87" s="299"/>
      <c r="M87" s="301" t="str">
        <f t="array" ref="M87">IF(B87="","", INDEX(Ingredients!H:H, MATCH(B87, Ingredients!B:B,0)))</f>
        <v/>
      </c>
      <c r="N87" s="42"/>
      <c r="O87" s="42"/>
      <c r="P87" s="299"/>
      <c r="Q87" s="302" t="str">
        <f t="shared" si="1"/>
        <v/>
      </c>
      <c r="R87" s="42"/>
      <c r="S87" s="42"/>
      <c r="T87" s="44"/>
      <c r="U87" s="114"/>
      <c r="V87" s="101"/>
      <c r="W87" s="298"/>
      <c r="X87" s="42"/>
      <c r="Y87" s="42"/>
      <c r="Z87" s="42"/>
      <c r="AA87" s="299"/>
      <c r="AB87" s="300"/>
      <c r="AC87" s="42"/>
      <c r="AD87" s="299"/>
      <c r="AE87" s="301" t="str">
        <f t="array" ref="AE87">IF(W87="","", INDEX(Other!G:G, MATCH(W87, Other!B:B,0)))</f>
        <v/>
      </c>
      <c r="AF87" s="42"/>
      <c r="AG87" s="299"/>
      <c r="AH87" s="301" t="str">
        <f t="array" ref="AH87">IF(W87="","", INDEX(Other!H:H, MATCH(W87, Other!B:B,0)))</f>
        <v/>
      </c>
      <c r="AI87" s="42"/>
      <c r="AJ87" s="42"/>
      <c r="AK87" s="299"/>
      <c r="AL87" s="301" t="str">
        <f t="shared" si="2"/>
        <v/>
      </c>
      <c r="AM87" s="42"/>
      <c r="AN87" s="42"/>
      <c r="AO87" s="44"/>
      <c r="AP87" s="114"/>
      <c r="AQ87" s="83"/>
      <c r="AR87" s="83"/>
      <c r="AS87" s="83"/>
      <c r="AT87" s="83"/>
      <c r="AU87" s="83"/>
      <c r="AV87" s="83"/>
      <c r="AW87" s="83"/>
      <c r="AX87" s="83"/>
      <c r="AY87" s="83"/>
      <c r="AZ87" s="83"/>
      <c r="BA87" s="83"/>
      <c r="BB87" s="83"/>
    </row>
    <row r="88">
      <c r="A88" s="101"/>
      <c r="B88" s="298"/>
      <c r="C88" s="42"/>
      <c r="D88" s="42"/>
      <c r="E88" s="42"/>
      <c r="F88" s="299"/>
      <c r="G88" s="300"/>
      <c r="H88" s="42"/>
      <c r="I88" s="299"/>
      <c r="J88" s="301" t="str">
        <f t="array" ref="J88">IF(B88="","", INDEX(Ingredients!G:G, MATCH(B88, Ingredients!B:B,0)))</f>
        <v/>
      </c>
      <c r="K88" s="42"/>
      <c r="L88" s="299"/>
      <c r="M88" s="301" t="str">
        <f t="array" ref="M88">IF(B88="","", INDEX(Ingredients!H:H, MATCH(B88, Ingredients!B:B,0)))</f>
        <v/>
      </c>
      <c r="N88" s="42"/>
      <c r="O88" s="42"/>
      <c r="P88" s="299"/>
      <c r="Q88" s="302" t="str">
        <f t="shared" si="1"/>
        <v/>
      </c>
      <c r="R88" s="42"/>
      <c r="S88" s="42"/>
      <c r="T88" s="44"/>
      <c r="U88" s="114"/>
      <c r="V88" s="101"/>
      <c r="W88" s="298"/>
      <c r="X88" s="42"/>
      <c r="Y88" s="42"/>
      <c r="Z88" s="42"/>
      <c r="AA88" s="299"/>
      <c r="AB88" s="300"/>
      <c r="AC88" s="42"/>
      <c r="AD88" s="299"/>
      <c r="AE88" s="301" t="str">
        <f t="array" ref="AE88">IF(W88="","", INDEX(Other!G:G, MATCH(W88, Other!B:B,0)))</f>
        <v/>
      </c>
      <c r="AF88" s="42"/>
      <c r="AG88" s="299"/>
      <c r="AH88" s="301" t="str">
        <f t="array" ref="AH88">IF(W88="","", INDEX(Other!H:H, MATCH(W88, Other!B:B,0)))</f>
        <v/>
      </c>
      <c r="AI88" s="42"/>
      <c r="AJ88" s="42"/>
      <c r="AK88" s="299"/>
      <c r="AL88" s="301" t="str">
        <f t="shared" si="2"/>
        <v/>
      </c>
      <c r="AM88" s="42"/>
      <c r="AN88" s="42"/>
      <c r="AO88" s="44"/>
      <c r="AP88" s="114"/>
      <c r="AQ88" s="83"/>
      <c r="AR88" s="83"/>
      <c r="AS88" s="83"/>
      <c r="AT88" s="83"/>
      <c r="AU88" s="83"/>
      <c r="AV88" s="83"/>
      <c r="AW88" s="83"/>
      <c r="AX88" s="83"/>
      <c r="AY88" s="83"/>
      <c r="AZ88" s="83"/>
      <c r="BA88" s="83"/>
      <c r="BB88" s="83"/>
    </row>
    <row r="89">
      <c r="A89" s="101"/>
      <c r="B89" s="298"/>
      <c r="C89" s="42"/>
      <c r="D89" s="42"/>
      <c r="E89" s="42"/>
      <c r="F89" s="299"/>
      <c r="G89" s="300"/>
      <c r="H89" s="42"/>
      <c r="I89" s="299"/>
      <c r="J89" s="301" t="str">
        <f t="array" ref="J89">IF(B89="","", INDEX(Ingredients!G:G, MATCH(B89, Ingredients!B:B,0)))</f>
        <v/>
      </c>
      <c r="K89" s="42"/>
      <c r="L89" s="299"/>
      <c r="M89" s="301" t="str">
        <f t="array" ref="M89">IF(B89="","", INDEX(Ingredients!H:H, MATCH(B89, Ingredients!B:B,0)))</f>
        <v/>
      </c>
      <c r="N89" s="42"/>
      <c r="O89" s="42"/>
      <c r="P89" s="299"/>
      <c r="Q89" s="302" t="str">
        <f t="shared" si="1"/>
        <v/>
      </c>
      <c r="R89" s="42"/>
      <c r="S89" s="42"/>
      <c r="T89" s="44"/>
      <c r="U89" s="114"/>
      <c r="V89" s="101"/>
      <c r="W89" s="298"/>
      <c r="X89" s="42"/>
      <c r="Y89" s="42"/>
      <c r="Z89" s="42"/>
      <c r="AA89" s="299"/>
      <c r="AB89" s="300"/>
      <c r="AC89" s="42"/>
      <c r="AD89" s="299"/>
      <c r="AE89" s="301" t="str">
        <f t="array" ref="AE89">IF(W89="","", INDEX(Other!G:G, MATCH(W89, Other!B:B,0)))</f>
        <v/>
      </c>
      <c r="AF89" s="42"/>
      <c r="AG89" s="299"/>
      <c r="AH89" s="301" t="str">
        <f t="array" ref="AH89">IF(W89="","", INDEX(Other!H:H, MATCH(W89, Other!B:B,0)))</f>
        <v/>
      </c>
      <c r="AI89" s="42"/>
      <c r="AJ89" s="42"/>
      <c r="AK89" s="299"/>
      <c r="AL89" s="301" t="str">
        <f t="shared" si="2"/>
        <v/>
      </c>
      <c r="AM89" s="42"/>
      <c r="AN89" s="42"/>
      <c r="AO89" s="44"/>
      <c r="AP89" s="114"/>
      <c r="AQ89" s="83"/>
      <c r="AR89" s="83"/>
      <c r="AS89" s="83"/>
      <c r="AT89" s="83"/>
      <c r="AU89" s="83"/>
      <c r="AV89" s="83"/>
      <c r="AW89" s="83"/>
      <c r="AX89" s="83"/>
      <c r="AY89" s="83"/>
      <c r="AZ89" s="83"/>
      <c r="BA89" s="83"/>
      <c r="BB89" s="83"/>
    </row>
    <row r="90">
      <c r="A90" s="101"/>
      <c r="B90" s="298"/>
      <c r="C90" s="42"/>
      <c r="D90" s="42"/>
      <c r="E90" s="42"/>
      <c r="F90" s="299"/>
      <c r="G90" s="300"/>
      <c r="H90" s="42"/>
      <c r="I90" s="299"/>
      <c r="J90" s="301" t="str">
        <f t="array" ref="J90">IF(B90="","", INDEX(Ingredients!G:G, MATCH(B90, Ingredients!B:B,0)))</f>
        <v/>
      </c>
      <c r="K90" s="42"/>
      <c r="L90" s="299"/>
      <c r="M90" s="301" t="str">
        <f t="array" ref="M90">IF(B90="","", INDEX(Ingredients!H:H, MATCH(B90, Ingredients!B:B,0)))</f>
        <v/>
      </c>
      <c r="N90" s="42"/>
      <c r="O90" s="42"/>
      <c r="P90" s="299"/>
      <c r="Q90" s="302" t="str">
        <f t="shared" si="1"/>
        <v/>
      </c>
      <c r="R90" s="42"/>
      <c r="S90" s="42"/>
      <c r="T90" s="44"/>
      <c r="U90" s="114"/>
      <c r="V90" s="101"/>
      <c r="W90" s="298"/>
      <c r="X90" s="42"/>
      <c r="Y90" s="42"/>
      <c r="Z90" s="42"/>
      <c r="AA90" s="299"/>
      <c r="AB90" s="300"/>
      <c r="AC90" s="42"/>
      <c r="AD90" s="299"/>
      <c r="AE90" s="301" t="str">
        <f t="array" ref="AE90">IF(W90="","", INDEX(Other!G:G, MATCH(W90, Other!B:B,0)))</f>
        <v/>
      </c>
      <c r="AF90" s="42"/>
      <c r="AG90" s="299"/>
      <c r="AH90" s="301" t="str">
        <f t="array" ref="AH90">IF(W90="","", INDEX(Other!H:H, MATCH(W90, Other!B:B,0)))</f>
        <v/>
      </c>
      <c r="AI90" s="42"/>
      <c r="AJ90" s="42"/>
      <c r="AK90" s="299"/>
      <c r="AL90" s="301" t="str">
        <f t="shared" si="2"/>
        <v/>
      </c>
      <c r="AM90" s="42"/>
      <c r="AN90" s="42"/>
      <c r="AO90" s="44"/>
      <c r="AP90" s="114"/>
      <c r="AQ90" s="83"/>
      <c r="AR90" s="83"/>
      <c r="AS90" s="83"/>
      <c r="AT90" s="83"/>
      <c r="AU90" s="83"/>
      <c r="AV90" s="83"/>
      <c r="AW90" s="83"/>
      <c r="AX90" s="83"/>
      <c r="AY90" s="83"/>
      <c r="AZ90" s="83"/>
      <c r="BA90" s="83"/>
      <c r="BB90" s="83"/>
    </row>
    <row r="91">
      <c r="A91" s="101"/>
      <c r="B91" s="298"/>
      <c r="C91" s="42"/>
      <c r="D91" s="42"/>
      <c r="E91" s="42"/>
      <c r="F91" s="299"/>
      <c r="G91" s="300"/>
      <c r="H91" s="42"/>
      <c r="I91" s="299"/>
      <c r="J91" s="301" t="str">
        <f t="array" ref="J91">IF(B91="","", INDEX(Ingredients!G:G, MATCH(B91, Ingredients!B:B,0)))</f>
        <v/>
      </c>
      <c r="K91" s="42"/>
      <c r="L91" s="299"/>
      <c r="M91" s="301" t="str">
        <f t="array" ref="M91">IF(B91="","", INDEX(Ingredients!H:H, MATCH(B91, Ingredients!B:B,0)))</f>
        <v/>
      </c>
      <c r="N91" s="42"/>
      <c r="O91" s="42"/>
      <c r="P91" s="299"/>
      <c r="Q91" s="302" t="str">
        <f t="shared" si="1"/>
        <v/>
      </c>
      <c r="R91" s="42"/>
      <c r="S91" s="42"/>
      <c r="T91" s="44"/>
      <c r="U91" s="114"/>
      <c r="V91" s="101"/>
      <c r="W91" s="298"/>
      <c r="X91" s="42"/>
      <c r="Y91" s="42"/>
      <c r="Z91" s="42"/>
      <c r="AA91" s="299"/>
      <c r="AB91" s="300"/>
      <c r="AC91" s="42"/>
      <c r="AD91" s="299"/>
      <c r="AE91" s="301" t="str">
        <f t="array" ref="AE91">IF(W91="","", INDEX(Other!G:G, MATCH(W91, Other!B:B,0)))</f>
        <v/>
      </c>
      <c r="AF91" s="42"/>
      <c r="AG91" s="299"/>
      <c r="AH91" s="301" t="str">
        <f t="array" ref="AH91">IF(W91="","", INDEX(Other!H:H, MATCH(W91, Other!B:B,0)))</f>
        <v/>
      </c>
      <c r="AI91" s="42"/>
      <c r="AJ91" s="42"/>
      <c r="AK91" s="299"/>
      <c r="AL91" s="301" t="str">
        <f t="shared" si="2"/>
        <v/>
      </c>
      <c r="AM91" s="42"/>
      <c r="AN91" s="42"/>
      <c r="AO91" s="44"/>
      <c r="AP91" s="114"/>
      <c r="AQ91" s="83"/>
      <c r="AR91" s="83"/>
      <c r="AS91" s="83"/>
      <c r="AT91" s="83"/>
      <c r="AU91" s="83"/>
      <c r="AV91" s="83"/>
      <c r="AW91" s="83"/>
      <c r="AX91" s="83"/>
      <c r="AY91" s="83"/>
      <c r="AZ91" s="83"/>
      <c r="BA91" s="83"/>
      <c r="BB91" s="83"/>
    </row>
    <row r="92">
      <c r="A92" s="101"/>
      <c r="B92" s="298"/>
      <c r="C92" s="42"/>
      <c r="D92" s="42"/>
      <c r="E92" s="42"/>
      <c r="F92" s="299"/>
      <c r="G92" s="300"/>
      <c r="H92" s="42"/>
      <c r="I92" s="299"/>
      <c r="J92" s="301" t="str">
        <f t="array" ref="J92">IF(B92="","", INDEX(Ingredients!G:G, MATCH(B92, Ingredients!B:B,0)))</f>
        <v/>
      </c>
      <c r="K92" s="42"/>
      <c r="L92" s="299"/>
      <c r="M92" s="301" t="str">
        <f t="array" ref="M92">IF(B92="","", INDEX(Ingredients!H:H, MATCH(B92, Ingredients!B:B,0)))</f>
        <v/>
      </c>
      <c r="N92" s="42"/>
      <c r="O92" s="42"/>
      <c r="P92" s="299"/>
      <c r="Q92" s="302" t="str">
        <f t="shared" si="1"/>
        <v/>
      </c>
      <c r="R92" s="42"/>
      <c r="S92" s="42"/>
      <c r="T92" s="44"/>
      <c r="U92" s="114"/>
      <c r="V92" s="101"/>
      <c r="W92" s="298"/>
      <c r="X92" s="42"/>
      <c r="Y92" s="42"/>
      <c r="Z92" s="42"/>
      <c r="AA92" s="299"/>
      <c r="AB92" s="300"/>
      <c r="AC92" s="42"/>
      <c r="AD92" s="299"/>
      <c r="AE92" s="301" t="str">
        <f t="array" ref="AE92">IF(W92="","", INDEX(Other!G:G, MATCH(W92, Other!B:B,0)))</f>
        <v/>
      </c>
      <c r="AF92" s="42"/>
      <c r="AG92" s="299"/>
      <c r="AH92" s="301" t="str">
        <f t="array" ref="AH92">IF(W92="","", INDEX(Other!H:H, MATCH(W92, Other!B:B,0)))</f>
        <v/>
      </c>
      <c r="AI92" s="42"/>
      <c r="AJ92" s="42"/>
      <c r="AK92" s="299"/>
      <c r="AL92" s="301" t="str">
        <f t="shared" si="2"/>
        <v/>
      </c>
      <c r="AM92" s="42"/>
      <c r="AN92" s="42"/>
      <c r="AO92" s="44"/>
      <c r="AP92" s="114"/>
      <c r="AQ92" s="83"/>
      <c r="AR92" s="83"/>
      <c r="AS92" s="83"/>
      <c r="AT92" s="83"/>
      <c r="AU92" s="83"/>
      <c r="AV92" s="83"/>
      <c r="AW92" s="83"/>
      <c r="AX92" s="83"/>
      <c r="AY92" s="83"/>
      <c r="AZ92" s="83"/>
      <c r="BA92" s="83"/>
      <c r="BB92" s="83"/>
    </row>
    <row r="93">
      <c r="A93" s="101"/>
      <c r="B93" s="298"/>
      <c r="C93" s="42"/>
      <c r="D93" s="42"/>
      <c r="E93" s="42"/>
      <c r="F93" s="299"/>
      <c r="G93" s="300"/>
      <c r="H93" s="42"/>
      <c r="I93" s="299"/>
      <c r="J93" s="301" t="str">
        <f t="array" ref="J93">IF(B93="","", INDEX(Ingredients!G:G, MATCH(B93, Ingredients!B:B,0)))</f>
        <v/>
      </c>
      <c r="K93" s="42"/>
      <c r="L93" s="299"/>
      <c r="M93" s="301" t="str">
        <f t="array" ref="M93">IF(B93="","", INDEX(Ingredients!H:H, MATCH(B93, Ingredients!B:B,0)))</f>
        <v/>
      </c>
      <c r="N93" s="42"/>
      <c r="O93" s="42"/>
      <c r="P93" s="299"/>
      <c r="Q93" s="302" t="str">
        <f t="shared" si="1"/>
        <v/>
      </c>
      <c r="R93" s="42"/>
      <c r="S93" s="42"/>
      <c r="T93" s="44"/>
      <c r="U93" s="114"/>
      <c r="V93" s="101"/>
      <c r="W93" s="298"/>
      <c r="X93" s="42"/>
      <c r="Y93" s="42"/>
      <c r="Z93" s="42"/>
      <c r="AA93" s="299"/>
      <c r="AB93" s="300"/>
      <c r="AC93" s="42"/>
      <c r="AD93" s="299"/>
      <c r="AE93" s="301" t="str">
        <f t="array" ref="AE93">IF(W93="","", INDEX(Other!G:G, MATCH(W93, Other!B:B,0)))</f>
        <v/>
      </c>
      <c r="AF93" s="42"/>
      <c r="AG93" s="299"/>
      <c r="AH93" s="301" t="str">
        <f t="array" ref="AH93">IF(W93="","", INDEX(Other!H:H, MATCH(W93, Other!B:B,0)))</f>
        <v/>
      </c>
      <c r="AI93" s="42"/>
      <c r="AJ93" s="42"/>
      <c r="AK93" s="299"/>
      <c r="AL93" s="301" t="str">
        <f t="shared" si="2"/>
        <v/>
      </c>
      <c r="AM93" s="42"/>
      <c r="AN93" s="42"/>
      <c r="AO93" s="44"/>
      <c r="AP93" s="114"/>
      <c r="AQ93" s="83"/>
      <c r="AR93" s="83"/>
      <c r="AS93" s="83"/>
      <c r="AT93" s="83"/>
      <c r="AU93" s="83"/>
      <c r="AV93" s="83"/>
      <c r="AW93" s="83"/>
      <c r="AX93" s="83"/>
      <c r="AY93" s="83"/>
      <c r="AZ93" s="83"/>
      <c r="BA93" s="83"/>
      <c r="BB93" s="83"/>
    </row>
    <row r="94">
      <c r="A94" s="101"/>
      <c r="B94" s="298"/>
      <c r="C94" s="42"/>
      <c r="D94" s="42"/>
      <c r="E94" s="42"/>
      <c r="F94" s="299"/>
      <c r="G94" s="300"/>
      <c r="H94" s="42"/>
      <c r="I94" s="299"/>
      <c r="J94" s="301" t="str">
        <f t="array" ref="J94">IF(B94="","", INDEX(Ingredients!G:G, MATCH(B94, Ingredients!B:B,0)))</f>
        <v/>
      </c>
      <c r="K94" s="42"/>
      <c r="L94" s="299"/>
      <c r="M94" s="301" t="str">
        <f t="array" ref="M94">IF(B94="","", INDEX(Ingredients!H:H, MATCH(B94, Ingredients!B:B,0)))</f>
        <v/>
      </c>
      <c r="N94" s="42"/>
      <c r="O94" s="42"/>
      <c r="P94" s="299"/>
      <c r="Q94" s="302" t="str">
        <f t="shared" si="1"/>
        <v/>
      </c>
      <c r="R94" s="42"/>
      <c r="S94" s="42"/>
      <c r="T94" s="44"/>
      <c r="U94" s="114"/>
      <c r="V94" s="101"/>
      <c r="W94" s="298"/>
      <c r="X94" s="42"/>
      <c r="Y94" s="42"/>
      <c r="Z94" s="42"/>
      <c r="AA94" s="299"/>
      <c r="AB94" s="300"/>
      <c r="AC94" s="42"/>
      <c r="AD94" s="299"/>
      <c r="AE94" s="301" t="str">
        <f t="array" ref="AE94">IF(W94="","", INDEX(Other!G:G, MATCH(W94, Other!B:B,0)))</f>
        <v/>
      </c>
      <c r="AF94" s="42"/>
      <c r="AG94" s="299"/>
      <c r="AH94" s="301" t="str">
        <f t="array" ref="AH94">IF(W94="","", INDEX(Other!H:H, MATCH(W94, Other!B:B,0)))</f>
        <v/>
      </c>
      <c r="AI94" s="42"/>
      <c r="AJ94" s="42"/>
      <c r="AK94" s="299"/>
      <c r="AL94" s="301" t="str">
        <f t="shared" si="2"/>
        <v/>
      </c>
      <c r="AM94" s="42"/>
      <c r="AN94" s="42"/>
      <c r="AO94" s="44"/>
      <c r="AP94" s="114"/>
      <c r="AQ94" s="83"/>
      <c r="AR94" s="83"/>
      <c r="AS94" s="83"/>
      <c r="AT94" s="83"/>
      <c r="AU94" s="83"/>
      <c r="AV94" s="83"/>
      <c r="AW94" s="83"/>
      <c r="AX94" s="83"/>
      <c r="AY94" s="83"/>
      <c r="AZ94" s="83"/>
      <c r="BA94" s="83"/>
      <c r="BB94" s="83"/>
    </row>
    <row r="95">
      <c r="A95" s="101"/>
      <c r="B95" s="298"/>
      <c r="C95" s="42"/>
      <c r="D95" s="42"/>
      <c r="E95" s="42"/>
      <c r="F95" s="299"/>
      <c r="G95" s="300"/>
      <c r="H95" s="42"/>
      <c r="I95" s="299"/>
      <c r="J95" s="301" t="str">
        <f t="array" ref="J95">IF(B95="","", INDEX(Ingredients!G:G, MATCH(B95, Ingredients!B:B,0)))</f>
        <v/>
      </c>
      <c r="K95" s="42"/>
      <c r="L95" s="299"/>
      <c r="M95" s="301" t="str">
        <f t="array" ref="M95">IF(B95="","", INDEX(Ingredients!H:H, MATCH(B95, Ingredients!B:B,0)))</f>
        <v/>
      </c>
      <c r="N95" s="42"/>
      <c r="O95" s="42"/>
      <c r="P95" s="299"/>
      <c r="Q95" s="302" t="str">
        <f t="shared" si="1"/>
        <v/>
      </c>
      <c r="R95" s="42"/>
      <c r="S95" s="42"/>
      <c r="T95" s="44"/>
      <c r="U95" s="114"/>
      <c r="V95" s="101"/>
      <c r="W95" s="298"/>
      <c r="X95" s="42"/>
      <c r="Y95" s="42"/>
      <c r="Z95" s="42"/>
      <c r="AA95" s="299"/>
      <c r="AB95" s="300"/>
      <c r="AC95" s="42"/>
      <c r="AD95" s="299"/>
      <c r="AE95" s="301" t="str">
        <f t="array" ref="AE95">IF(W95="","", INDEX(Other!G:G, MATCH(W95, Other!B:B,0)))</f>
        <v/>
      </c>
      <c r="AF95" s="42"/>
      <c r="AG95" s="299"/>
      <c r="AH95" s="301" t="str">
        <f t="array" ref="AH95">IF(W95="","", INDEX(Other!H:H, MATCH(W95, Other!B:B,0)))</f>
        <v/>
      </c>
      <c r="AI95" s="42"/>
      <c r="AJ95" s="42"/>
      <c r="AK95" s="299"/>
      <c r="AL95" s="301" t="str">
        <f t="shared" si="2"/>
        <v/>
      </c>
      <c r="AM95" s="42"/>
      <c r="AN95" s="42"/>
      <c r="AO95" s="44"/>
      <c r="AP95" s="114"/>
      <c r="AQ95" s="83"/>
      <c r="AR95" s="83"/>
      <c r="AS95" s="83"/>
      <c r="AT95" s="83"/>
      <c r="AU95" s="83"/>
      <c r="AV95" s="83"/>
      <c r="AW95" s="83"/>
      <c r="AX95" s="83"/>
      <c r="AY95" s="83"/>
      <c r="AZ95" s="83"/>
      <c r="BA95" s="83"/>
      <c r="BB95" s="83"/>
    </row>
    <row r="96">
      <c r="A96" s="101"/>
      <c r="B96" s="298"/>
      <c r="C96" s="42"/>
      <c r="D96" s="42"/>
      <c r="E96" s="42"/>
      <c r="F96" s="299"/>
      <c r="G96" s="300"/>
      <c r="H96" s="42"/>
      <c r="I96" s="299"/>
      <c r="J96" s="301" t="str">
        <f t="array" ref="J96">IF(B96="","", INDEX(Ingredients!G:G, MATCH(B96, Ingredients!B:B,0)))</f>
        <v/>
      </c>
      <c r="K96" s="42"/>
      <c r="L96" s="299"/>
      <c r="M96" s="301" t="str">
        <f t="array" ref="M96">IF(B96="","", INDEX(Ingredients!H:H, MATCH(B96, Ingredients!B:B,0)))</f>
        <v/>
      </c>
      <c r="N96" s="42"/>
      <c r="O96" s="42"/>
      <c r="P96" s="299"/>
      <c r="Q96" s="302" t="str">
        <f t="shared" si="1"/>
        <v/>
      </c>
      <c r="R96" s="42"/>
      <c r="S96" s="42"/>
      <c r="T96" s="44"/>
      <c r="U96" s="114"/>
      <c r="V96" s="101"/>
      <c r="W96" s="298"/>
      <c r="X96" s="42"/>
      <c r="Y96" s="42"/>
      <c r="Z96" s="42"/>
      <c r="AA96" s="299"/>
      <c r="AB96" s="300"/>
      <c r="AC96" s="42"/>
      <c r="AD96" s="299"/>
      <c r="AE96" s="301" t="str">
        <f t="array" ref="AE96">IF(W96="","", INDEX(Other!G:G, MATCH(W96, Other!B:B,0)))</f>
        <v/>
      </c>
      <c r="AF96" s="42"/>
      <c r="AG96" s="299"/>
      <c r="AH96" s="301" t="str">
        <f t="array" ref="AH96">IF(W96="","", INDEX(Other!H:H, MATCH(W96, Other!B:B,0)))</f>
        <v/>
      </c>
      <c r="AI96" s="42"/>
      <c r="AJ96" s="42"/>
      <c r="AK96" s="299"/>
      <c r="AL96" s="301" t="str">
        <f t="shared" si="2"/>
        <v/>
      </c>
      <c r="AM96" s="42"/>
      <c r="AN96" s="42"/>
      <c r="AO96" s="44"/>
      <c r="AP96" s="114"/>
      <c r="AQ96" s="83"/>
      <c r="AR96" s="83"/>
      <c r="AS96" s="83"/>
      <c r="AT96" s="83"/>
      <c r="AU96" s="83"/>
      <c r="AV96" s="83"/>
      <c r="AW96" s="83"/>
      <c r="AX96" s="83"/>
      <c r="AY96" s="83"/>
      <c r="AZ96" s="83"/>
      <c r="BA96" s="83"/>
      <c r="BB96" s="83"/>
    </row>
    <row r="97">
      <c r="A97" s="101"/>
      <c r="B97" s="298"/>
      <c r="C97" s="42"/>
      <c r="D97" s="42"/>
      <c r="E97" s="42"/>
      <c r="F97" s="299"/>
      <c r="G97" s="300"/>
      <c r="H97" s="42"/>
      <c r="I97" s="299"/>
      <c r="J97" s="301" t="str">
        <f t="array" ref="J97">IF(B97="","", INDEX(Ingredients!G:G, MATCH(B97, Ingredients!B:B,0)))</f>
        <v/>
      </c>
      <c r="K97" s="42"/>
      <c r="L97" s="299"/>
      <c r="M97" s="301" t="str">
        <f t="array" ref="M97">IF(B97="","", INDEX(Ingredients!H:H, MATCH(B97, Ingredients!B:B,0)))</f>
        <v/>
      </c>
      <c r="N97" s="42"/>
      <c r="O97" s="42"/>
      <c r="P97" s="299"/>
      <c r="Q97" s="302" t="str">
        <f t="shared" si="1"/>
        <v/>
      </c>
      <c r="R97" s="42"/>
      <c r="S97" s="42"/>
      <c r="T97" s="44"/>
      <c r="U97" s="114"/>
      <c r="V97" s="101"/>
      <c r="W97" s="298"/>
      <c r="X97" s="42"/>
      <c r="Y97" s="42"/>
      <c r="Z97" s="42"/>
      <c r="AA97" s="299"/>
      <c r="AB97" s="300"/>
      <c r="AC97" s="42"/>
      <c r="AD97" s="299"/>
      <c r="AE97" s="301" t="str">
        <f t="array" ref="AE97">IF(W97="","", INDEX(Other!G:G, MATCH(W97, Other!B:B,0)))</f>
        <v/>
      </c>
      <c r="AF97" s="42"/>
      <c r="AG97" s="299"/>
      <c r="AH97" s="301" t="str">
        <f t="array" ref="AH97">IF(W97="","", INDEX(Other!H:H, MATCH(W97, Other!B:B,0)))</f>
        <v/>
      </c>
      <c r="AI97" s="42"/>
      <c r="AJ97" s="42"/>
      <c r="AK97" s="299"/>
      <c r="AL97" s="301" t="str">
        <f t="shared" si="2"/>
        <v/>
      </c>
      <c r="AM97" s="42"/>
      <c r="AN97" s="42"/>
      <c r="AO97" s="44"/>
      <c r="AP97" s="114"/>
      <c r="AQ97" s="83"/>
      <c r="AR97" s="83"/>
      <c r="AS97" s="83"/>
      <c r="AT97" s="83"/>
      <c r="AU97" s="83"/>
      <c r="AV97" s="83"/>
      <c r="AW97" s="83"/>
      <c r="AX97" s="83"/>
      <c r="AY97" s="83"/>
      <c r="AZ97" s="83"/>
      <c r="BA97" s="83"/>
      <c r="BB97" s="83"/>
    </row>
    <row r="98">
      <c r="A98" s="101"/>
      <c r="B98" s="298"/>
      <c r="C98" s="42"/>
      <c r="D98" s="42"/>
      <c r="E98" s="42"/>
      <c r="F98" s="299"/>
      <c r="G98" s="300"/>
      <c r="H98" s="42"/>
      <c r="I98" s="299"/>
      <c r="J98" s="301" t="str">
        <f t="array" ref="J98">IF(B98="","", INDEX(Ingredients!G:G, MATCH(B98, Ingredients!B:B,0)))</f>
        <v/>
      </c>
      <c r="K98" s="42"/>
      <c r="L98" s="299"/>
      <c r="M98" s="301" t="str">
        <f t="array" ref="M98">IF(B98="","", INDEX(Ingredients!H:H, MATCH(B98, Ingredients!B:B,0)))</f>
        <v/>
      </c>
      <c r="N98" s="42"/>
      <c r="O98" s="42"/>
      <c r="P98" s="299"/>
      <c r="Q98" s="302" t="str">
        <f t="shared" si="1"/>
        <v/>
      </c>
      <c r="R98" s="42"/>
      <c r="S98" s="42"/>
      <c r="T98" s="44"/>
      <c r="U98" s="114"/>
      <c r="V98" s="101"/>
      <c r="W98" s="298"/>
      <c r="X98" s="42"/>
      <c r="Y98" s="42"/>
      <c r="Z98" s="42"/>
      <c r="AA98" s="299"/>
      <c r="AB98" s="300"/>
      <c r="AC98" s="42"/>
      <c r="AD98" s="299"/>
      <c r="AE98" s="301" t="str">
        <f t="array" ref="AE98">IF(W98="","", INDEX(Other!G:G, MATCH(W98, Other!B:B,0)))</f>
        <v/>
      </c>
      <c r="AF98" s="42"/>
      <c r="AG98" s="299"/>
      <c r="AH98" s="301" t="str">
        <f t="array" ref="AH98">IF(W98="","", INDEX(Other!H:H, MATCH(W98, Other!B:B,0)))</f>
        <v/>
      </c>
      <c r="AI98" s="42"/>
      <c r="AJ98" s="42"/>
      <c r="AK98" s="299"/>
      <c r="AL98" s="301" t="str">
        <f t="shared" si="2"/>
        <v/>
      </c>
      <c r="AM98" s="42"/>
      <c r="AN98" s="42"/>
      <c r="AO98" s="44"/>
      <c r="AP98" s="114"/>
      <c r="AQ98" s="83"/>
      <c r="AR98" s="83"/>
      <c r="AS98" s="83"/>
      <c r="AT98" s="83"/>
      <c r="AU98" s="83"/>
      <c r="AV98" s="83"/>
      <c r="AW98" s="83"/>
      <c r="AX98" s="83"/>
      <c r="AY98" s="83"/>
      <c r="AZ98" s="83"/>
      <c r="BA98" s="83"/>
      <c r="BB98" s="83"/>
    </row>
    <row r="99">
      <c r="A99" s="101"/>
      <c r="B99" s="298"/>
      <c r="C99" s="42"/>
      <c r="D99" s="42"/>
      <c r="E99" s="42"/>
      <c r="F99" s="299"/>
      <c r="G99" s="300"/>
      <c r="H99" s="42"/>
      <c r="I99" s="299"/>
      <c r="J99" s="301" t="str">
        <f t="array" ref="J99">IF(B99="","", INDEX(Ingredients!G:G, MATCH(B99, Ingredients!B:B,0)))</f>
        <v/>
      </c>
      <c r="K99" s="42"/>
      <c r="L99" s="299"/>
      <c r="M99" s="301" t="str">
        <f t="array" ref="M99">IF(B99="","", INDEX(Ingredients!H:H, MATCH(B99, Ingredients!B:B,0)))</f>
        <v/>
      </c>
      <c r="N99" s="42"/>
      <c r="O99" s="42"/>
      <c r="P99" s="299"/>
      <c r="Q99" s="302" t="str">
        <f t="shared" si="1"/>
        <v/>
      </c>
      <c r="R99" s="42"/>
      <c r="S99" s="42"/>
      <c r="T99" s="44"/>
      <c r="U99" s="114"/>
      <c r="V99" s="101"/>
      <c r="W99" s="298"/>
      <c r="X99" s="42"/>
      <c r="Y99" s="42"/>
      <c r="Z99" s="42"/>
      <c r="AA99" s="299"/>
      <c r="AB99" s="300"/>
      <c r="AC99" s="42"/>
      <c r="AD99" s="299"/>
      <c r="AE99" s="301" t="str">
        <f t="array" ref="AE99">IF(W99="","", INDEX(Other!G:G, MATCH(W99, Other!B:B,0)))</f>
        <v/>
      </c>
      <c r="AF99" s="42"/>
      <c r="AG99" s="299"/>
      <c r="AH99" s="301" t="str">
        <f t="array" ref="AH99">IF(W99="","", INDEX(Other!H:H, MATCH(W99, Other!B:B,0)))</f>
        <v/>
      </c>
      <c r="AI99" s="42"/>
      <c r="AJ99" s="42"/>
      <c r="AK99" s="299"/>
      <c r="AL99" s="301" t="str">
        <f t="shared" si="2"/>
        <v/>
      </c>
      <c r="AM99" s="42"/>
      <c r="AN99" s="42"/>
      <c r="AO99" s="44"/>
      <c r="AP99" s="114"/>
      <c r="AQ99" s="83"/>
      <c r="AR99" s="83"/>
      <c r="AS99" s="83"/>
      <c r="AT99" s="83"/>
      <c r="AU99" s="83"/>
      <c r="AV99" s="83"/>
      <c r="AW99" s="83"/>
      <c r="AX99" s="83"/>
      <c r="AY99" s="83"/>
      <c r="AZ99" s="83"/>
      <c r="BA99" s="83"/>
      <c r="BB99" s="83"/>
    </row>
    <row r="100">
      <c r="A100" s="101"/>
      <c r="B100" s="298"/>
      <c r="C100" s="42"/>
      <c r="D100" s="42"/>
      <c r="E100" s="42"/>
      <c r="F100" s="299"/>
      <c r="G100" s="300"/>
      <c r="H100" s="42"/>
      <c r="I100" s="299"/>
      <c r="J100" s="301" t="str">
        <f t="array" ref="J100">IF(B100="","", INDEX(Ingredients!G:G, MATCH(B100, Ingredients!B:B,0)))</f>
        <v/>
      </c>
      <c r="K100" s="42"/>
      <c r="L100" s="299"/>
      <c r="M100" s="301" t="str">
        <f t="array" ref="M100">IF(B100="","", INDEX(Ingredients!H:H, MATCH(B100, Ingredients!B:B,0)))</f>
        <v/>
      </c>
      <c r="N100" s="42"/>
      <c r="O100" s="42"/>
      <c r="P100" s="299"/>
      <c r="Q100" s="302" t="str">
        <f t="shared" si="1"/>
        <v/>
      </c>
      <c r="R100" s="42"/>
      <c r="S100" s="42"/>
      <c r="T100" s="44"/>
      <c r="U100" s="114"/>
      <c r="V100" s="101"/>
      <c r="W100" s="298"/>
      <c r="X100" s="42"/>
      <c r="Y100" s="42"/>
      <c r="Z100" s="42"/>
      <c r="AA100" s="299"/>
      <c r="AB100" s="300"/>
      <c r="AC100" s="42"/>
      <c r="AD100" s="299"/>
      <c r="AE100" s="301" t="str">
        <f t="array" ref="AE100">IF(W100="","", INDEX(Other!G:G, MATCH(W100, Other!B:B,0)))</f>
        <v/>
      </c>
      <c r="AF100" s="42"/>
      <c r="AG100" s="299"/>
      <c r="AH100" s="301" t="str">
        <f t="array" ref="AH100">IF(W100="","", INDEX(Other!H:H, MATCH(W100, Other!B:B,0)))</f>
        <v/>
      </c>
      <c r="AI100" s="42"/>
      <c r="AJ100" s="42"/>
      <c r="AK100" s="299"/>
      <c r="AL100" s="301" t="str">
        <f t="shared" si="2"/>
        <v/>
      </c>
      <c r="AM100" s="42"/>
      <c r="AN100" s="42"/>
      <c r="AO100" s="44"/>
      <c r="AP100" s="114"/>
      <c r="AQ100" s="83"/>
      <c r="AR100" s="83"/>
      <c r="AS100" s="83"/>
      <c r="AT100" s="83"/>
      <c r="AU100" s="83"/>
      <c r="AV100" s="83"/>
      <c r="AW100" s="83"/>
      <c r="AX100" s="83"/>
      <c r="AY100" s="83"/>
      <c r="AZ100" s="83"/>
      <c r="BA100" s="83"/>
      <c r="BB100" s="83"/>
    </row>
    <row r="101">
      <c r="A101" s="101"/>
      <c r="B101" s="298"/>
      <c r="C101" s="42"/>
      <c r="D101" s="42"/>
      <c r="E101" s="42"/>
      <c r="F101" s="299"/>
      <c r="G101" s="300"/>
      <c r="H101" s="42"/>
      <c r="I101" s="299"/>
      <c r="J101" s="301" t="str">
        <f t="array" ref="J101">IF(B101="","", INDEX(Ingredients!G:G, MATCH(B101, Ingredients!B:B,0)))</f>
        <v/>
      </c>
      <c r="K101" s="42"/>
      <c r="L101" s="299"/>
      <c r="M101" s="301" t="str">
        <f t="array" ref="M101">IF(B101="","", INDEX(Ingredients!H:H, MATCH(B101, Ingredients!B:B,0)))</f>
        <v/>
      </c>
      <c r="N101" s="42"/>
      <c r="O101" s="42"/>
      <c r="P101" s="299"/>
      <c r="Q101" s="302" t="str">
        <f t="shared" si="1"/>
        <v/>
      </c>
      <c r="R101" s="42"/>
      <c r="S101" s="42"/>
      <c r="T101" s="44"/>
      <c r="U101" s="114"/>
      <c r="V101" s="101"/>
      <c r="W101" s="298"/>
      <c r="X101" s="42"/>
      <c r="Y101" s="42"/>
      <c r="Z101" s="42"/>
      <c r="AA101" s="299"/>
      <c r="AB101" s="300"/>
      <c r="AC101" s="42"/>
      <c r="AD101" s="299"/>
      <c r="AE101" s="301" t="str">
        <f t="array" ref="AE101">IF(W101="","", INDEX(Other!G:G, MATCH(W101, Other!B:B,0)))</f>
        <v/>
      </c>
      <c r="AF101" s="42"/>
      <c r="AG101" s="299"/>
      <c r="AH101" s="301" t="str">
        <f t="array" ref="AH101">IF(W101="","", INDEX(Other!H:H, MATCH(W101, Other!B:B,0)))</f>
        <v/>
      </c>
      <c r="AI101" s="42"/>
      <c r="AJ101" s="42"/>
      <c r="AK101" s="299"/>
      <c r="AL101" s="301" t="str">
        <f t="shared" si="2"/>
        <v/>
      </c>
      <c r="AM101" s="42"/>
      <c r="AN101" s="42"/>
      <c r="AO101" s="44"/>
      <c r="AP101" s="114"/>
      <c r="AQ101" s="83"/>
      <c r="AR101" s="83"/>
      <c r="AS101" s="83"/>
      <c r="AT101" s="83"/>
      <c r="AU101" s="83"/>
      <c r="AV101" s="83"/>
      <c r="AW101" s="83"/>
      <c r="AX101" s="83"/>
      <c r="AY101" s="83"/>
      <c r="AZ101" s="83"/>
      <c r="BA101" s="83"/>
      <c r="BB101" s="83"/>
    </row>
    <row r="102">
      <c r="A102" s="101"/>
      <c r="B102" s="298"/>
      <c r="C102" s="42"/>
      <c r="D102" s="42"/>
      <c r="E102" s="42"/>
      <c r="F102" s="299"/>
      <c r="G102" s="300"/>
      <c r="H102" s="42"/>
      <c r="I102" s="299"/>
      <c r="J102" s="301" t="str">
        <f t="array" ref="J102">IF(B102="","", INDEX(Ingredients!G:G, MATCH(B102, Ingredients!B:B,0)))</f>
        <v/>
      </c>
      <c r="K102" s="42"/>
      <c r="L102" s="299"/>
      <c r="M102" s="301" t="str">
        <f t="array" ref="M102">IF(B102="","", INDEX(Ingredients!H:H, MATCH(B102, Ingredients!B:B,0)))</f>
        <v/>
      </c>
      <c r="N102" s="42"/>
      <c r="O102" s="42"/>
      <c r="P102" s="299"/>
      <c r="Q102" s="302" t="str">
        <f t="shared" si="1"/>
        <v/>
      </c>
      <c r="R102" s="42"/>
      <c r="S102" s="42"/>
      <c r="T102" s="44"/>
      <c r="U102" s="114"/>
      <c r="V102" s="101"/>
      <c r="W102" s="298"/>
      <c r="X102" s="42"/>
      <c r="Y102" s="42"/>
      <c r="Z102" s="42"/>
      <c r="AA102" s="299"/>
      <c r="AB102" s="300"/>
      <c r="AC102" s="42"/>
      <c r="AD102" s="299"/>
      <c r="AE102" s="301" t="str">
        <f t="array" ref="AE102">IF(W102="","", INDEX(Other!G:G, MATCH(W102, Other!B:B,0)))</f>
        <v/>
      </c>
      <c r="AF102" s="42"/>
      <c r="AG102" s="299"/>
      <c r="AH102" s="301" t="str">
        <f t="array" ref="AH102">IF(W102="","", INDEX(Other!H:H, MATCH(W102, Other!B:B,0)))</f>
        <v/>
      </c>
      <c r="AI102" s="42"/>
      <c r="AJ102" s="42"/>
      <c r="AK102" s="299"/>
      <c r="AL102" s="301" t="str">
        <f t="shared" si="2"/>
        <v/>
      </c>
      <c r="AM102" s="42"/>
      <c r="AN102" s="42"/>
      <c r="AO102" s="44"/>
      <c r="AP102" s="114"/>
      <c r="AQ102" s="83"/>
      <c r="AR102" s="83"/>
      <c r="AS102" s="83"/>
      <c r="AT102" s="83"/>
      <c r="AU102" s="83"/>
      <c r="AV102" s="83"/>
      <c r="AW102" s="83"/>
      <c r="AX102" s="83"/>
      <c r="AY102" s="83"/>
      <c r="AZ102" s="83"/>
      <c r="BA102" s="83"/>
      <c r="BB102" s="83"/>
    </row>
    <row r="103">
      <c r="A103" s="101"/>
      <c r="B103" s="298"/>
      <c r="C103" s="42"/>
      <c r="D103" s="42"/>
      <c r="E103" s="42"/>
      <c r="F103" s="299"/>
      <c r="G103" s="300"/>
      <c r="H103" s="42"/>
      <c r="I103" s="299"/>
      <c r="J103" s="301" t="str">
        <f t="array" ref="J103">IF(B103="","", INDEX(Ingredients!G:G, MATCH(B103, Ingredients!B:B,0)))</f>
        <v/>
      </c>
      <c r="K103" s="42"/>
      <c r="L103" s="299"/>
      <c r="M103" s="301" t="str">
        <f t="array" ref="M103">IF(B103="","", INDEX(Ingredients!H:H, MATCH(B103, Ingredients!B:B,0)))</f>
        <v/>
      </c>
      <c r="N103" s="42"/>
      <c r="O103" s="42"/>
      <c r="P103" s="299"/>
      <c r="Q103" s="302" t="str">
        <f t="shared" si="1"/>
        <v/>
      </c>
      <c r="R103" s="42"/>
      <c r="S103" s="42"/>
      <c r="T103" s="44"/>
      <c r="U103" s="114"/>
      <c r="V103" s="101"/>
      <c r="W103" s="298"/>
      <c r="X103" s="42"/>
      <c r="Y103" s="42"/>
      <c r="Z103" s="42"/>
      <c r="AA103" s="299"/>
      <c r="AB103" s="300"/>
      <c r="AC103" s="42"/>
      <c r="AD103" s="299"/>
      <c r="AE103" s="301" t="str">
        <f t="array" ref="AE103">IF(W103="","", INDEX(Other!G:G, MATCH(W103, Other!B:B,0)))</f>
        <v/>
      </c>
      <c r="AF103" s="42"/>
      <c r="AG103" s="299"/>
      <c r="AH103" s="301" t="str">
        <f t="array" ref="AH103">IF(W103="","", INDEX(Other!H:H, MATCH(W103, Other!B:B,0)))</f>
        <v/>
      </c>
      <c r="AI103" s="42"/>
      <c r="AJ103" s="42"/>
      <c r="AK103" s="299"/>
      <c r="AL103" s="301" t="str">
        <f t="shared" si="2"/>
        <v/>
      </c>
      <c r="AM103" s="42"/>
      <c r="AN103" s="42"/>
      <c r="AO103" s="44"/>
      <c r="AP103" s="114"/>
      <c r="AQ103" s="83"/>
      <c r="AR103" s="83"/>
      <c r="AS103" s="83"/>
      <c r="AT103" s="83"/>
      <c r="AU103" s="83"/>
      <c r="AV103" s="83"/>
      <c r="AW103" s="83"/>
      <c r="AX103" s="83"/>
      <c r="AY103" s="83"/>
      <c r="AZ103" s="83"/>
      <c r="BA103" s="83"/>
      <c r="BB103" s="83"/>
    </row>
    <row r="104">
      <c r="A104" s="101"/>
      <c r="B104" s="298"/>
      <c r="C104" s="42"/>
      <c r="D104" s="42"/>
      <c r="E104" s="42"/>
      <c r="F104" s="299"/>
      <c r="G104" s="300"/>
      <c r="H104" s="42"/>
      <c r="I104" s="299"/>
      <c r="J104" s="301" t="str">
        <f t="array" ref="J104">IF(B104="","", INDEX(Ingredients!G:G, MATCH(B104, Ingredients!B:B,0)))</f>
        <v/>
      </c>
      <c r="K104" s="42"/>
      <c r="L104" s="299"/>
      <c r="M104" s="301" t="str">
        <f t="array" ref="M104">IF(B104="","", INDEX(Ingredients!H:H, MATCH(B104, Ingredients!B:B,0)))</f>
        <v/>
      </c>
      <c r="N104" s="42"/>
      <c r="O104" s="42"/>
      <c r="P104" s="299"/>
      <c r="Q104" s="302" t="str">
        <f t="shared" si="1"/>
        <v/>
      </c>
      <c r="R104" s="42"/>
      <c r="S104" s="42"/>
      <c r="T104" s="44"/>
      <c r="U104" s="114"/>
      <c r="V104" s="101"/>
      <c r="W104" s="298"/>
      <c r="X104" s="42"/>
      <c r="Y104" s="42"/>
      <c r="Z104" s="42"/>
      <c r="AA104" s="299"/>
      <c r="AB104" s="300"/>
      <c r="AC104" s="42"/>
      <c r="AD104" s="299"/>
      <c r="AE104" s="301" t="str">
        <f t="array" ref="AE104">IF(W104="","", INDEX(Other!G:G, MATCH(W104, Other!B:B,0)))</f>
        <v/>
      </c>
      <c r="AF104" s="42"/>
      <c r="AG104" s="299"/>
      <c r="AH104" s="301" t="str">
        <f t="array" ref="AH104">IF(W104="","", INDEX(Other!H:H, MATCH(W104, Other!B:B,0)))</f>
        <v/>
      </c>
      <c r="AI104" s="42"/>
      <c r="AJ104" s="42"/>
      <c r="AK104" s="299"/>
      <c r="AL104" s="301" t="str">
        <f t="shared" si="2"/>
        <v/>
      </c>
      <c r="AM104" s="42"/>
      <c r="AN104" s="42"/>
      <c r="AO104" s="44"/>
      <c r="AP104" s="114"/>
      <c r="AQ104" s="83"/>
      <c r="AR104" s="83"/>
      <c r="AS104" s="83"/>
      <c r="AT104" s="83"/>
      <c r="AU104" s="83"/>
      <c r="AV104" s="83"/>
      <c r="AW104" s="83"/>
      <c r="AX104" s="83"/>
      <c r="AY104" s="83"/>
      <c r="AZ104" s="83"/>
      <c r="BA104" s="83"/>
      <c r="BB104" s="83"/>
    </row>
    <row r="105">
      <c r="A105" s="101"/>
      <c r="B105" s="298"/>
      <c r="C105" s="42"/>
      <c r="D105" s="42"/>
      <c r="E105" s="42"/>
      <c r="F105" s="299"/>
      <c r="G105" s="300"/>
      <c r="H105" s="42"/>
      <c r="I105" s="299"/>
      <c r="J105" s="301" t="str">
        <f t="array" ref="J105">IF(B105="","", INDEX(Ingredients!G:G, MATCH(B105, Ingredients!B:B,0)))</f>
        <v/>
      </c>
      <c r="K105" s="42"/>
      <c r="L105" s="299"/>
      <c r="M105" s="301" t="str">
        <f t="array" ref="M105">IF(B105="","", INDEX(Ingredients!H:H, MATCH(B105, Ingredients!B:B,0)))</f>
        <v/>
      </c>
      <c r="N105" s="42"/>
      <c r="O105" s="42"/>
      <c r="P105" s="299"/>
      <c r="Q105" s="302" t="str">
        <f t="shared" si="1"/>
        <v/>
      </c>
      <c r="R105" s="42"/>
      <c r="S105" s="42"/>
      <c r="T105" s="44"/>
      <c r="U105" s="114"/>
      <c r="V105" s="101"/>
      <c r="W105" s="298"/>
      <c r="X105" s="42"/>
      <c r="Y105" s="42"/>
      <c r="Z105" s="42"/>
      <c r="AA105" s="299"/>
      <c r="AB105" s="300"/>
      <c r="AC105" s="42"/>
      <c r="AD105" s="299"/>
      <c r="AE105" s="301" t="str">
        <f t="array" ref="AE105">IF(W105="","", INDEX(Other!G:G, MATCH(W105, Other!B:B,0)))</f>
        <v/>
      </c>
      <c r="AF105" s="42"/>
      <c r="AG105" s="299"/>
      <c r="AH105" s="301" t="str">
        <f t="array" ref="AH105">IF(W105="","", INDEX(Other!H:H, MATCH(W105, Other!B:B,0)))</f>
        <v/>
      </c>
      <c r="AI105" s="42"/>
      <c r="AJ105" s="42"/>
      <c r="AK105" s="299"/>
      <c r="AL105" s="301" t="str">
        <f t="shared" si="2"/>
        <v/>
      </c>
      <c r="AM105" s="42"/>
      <c r="AN105" s="42"/>
      <c r="AO105" s="44"/>
      <c r="AP105" s="114"/>
      <c r="AQ105" s="83"/>
      <c r="AR105" s="83"/>
      <c r="AS105" s="83"/>
      <c r="AT105" s="83"/>
      <c r="AU105" s="83"/>
      <c r="AV105" s="83"/>
      <c r="AW105" s="83"/>
      <c r="AX105" s="83"/>
      <c r="AY105" s="83"/>
      <c r="AZ105" s="83"/>
      <c r="BA105" s="83"/>
      <c r="BB105" s="83"/>
    </row>
    <row r="106">
      <c r="A106" s="101"/>
      <c r="B106" s="298"/>
      <c r="C106" s="42"/>
      <c r="D106" s="42"/>
      <c r="E106" s="42"/>
      <c r="F106" s="299"/>
      <c r="G106" s="300"/>
      <c r="H106" s="42"/>
      <c r="I106" s="299"/>
      <c r="J106" s="301" t="str">
        <f t="array" ref="J106">IF(B106="","", INDEX(Ingredients!G:G, MATCH(B106, Ingredients!B:B,0)))</f>
        <v/>
      </c>
      <c r="K106" s="42"/>
      <c r="L106" s="299"/>
      <c r="M106" s="301" t="str">
        <f t="array" ref="M106">IF(B106="","", INDEX(Ingredients!H:H, MATCH(B106, Ingredients!B:B,0)))</f>
        <v/>
      </c>
      <c r="N106" s="42"/>
      <c r="O106" s="42"/>
      <c r="P106" s="299"/>
      <c r="Q106" s="302" t="str">
        <f t="shared" si="1"/>
        <v/>
      </c>
      <c r="R106" s="42"/>
      <c r="S106" s="42"/>
      <c r="T106" s="44"/>
      <c r="U106" s="114"/>
      <c r="V106" s="101"/>
      <c r="W106" s="298"/>
      <c r="X106" s="42"/>
      <c r="Y106" s="42"/>
      <c r="Z106" s="42"/>
      <c r="AA106" s="299"/>
      <c r="AB106" s="300"/>
      <c r="AC106" s="42"/>
      <c r="AD106" s="299"/>
      <c r="AE106" s="301" t="str">
        <f t="array" ref="AE106">IF(W106="","", INDEX(Other!G:G, MATCH(W106, Other!B:B,0)))</f>
        <v/>
      </c>
      <c r="AF106" s="42"/>
      <c r="AG106" s="299"/>
      <c r="AH106" s="301" t="str">
        <f t="array" ref="AH106">IF(W106="","", INDEX(Other!H:H, MATCH(W106, Other!B:B,0)))</f>
        <v/>
      </c>
      <c r="AI106" s="42"/>
      <c r="AJ106" s="42"/>
      <c r="AK106" s="299"/>
      <c r="AL106" s="301" t="str">
        <f t="shared" si="2"/>
        <v/>
      </c>
      <c r="AM106" s="42"/>
      <c r="AN106" s="42"/>
      <c r="AO106" s="44"/>
      <c r="AP106" s="114"/>
      <c r="AQ106" s="83"/>
      <c r="AR106" s="83"/>
      <c r="AS106" s="83"/>
      <c r="AT106" s="83"/>
      <c r="AU106" s="83"/>
      <c r="AV106" s="83"/>
      <c r="AW106" s="83"/>
      <c r="AX106" s="83"/>
      <c r="AY106" s="83"/>
      <c r="AZ106" s="83"/>
      <c r="BA106" s="83"/>
      <c r="BB106" s="83"/>
    </row>
    <row r="107">
      <c r="A107" s="101"/>
      <c r="B107" s="298"/>
      <c r="C107" s="42"/>
      <c r="D107" s="42"/>
      <c r="E107" s="42"/>
      <c r="F107" s="299"/>
      <c r="G107" s="300"/>
      <c r="H107" s="42"/>
      <c r="I107" s="299"/>
      <c r="J107" s="301" t="str">
        <f t="array" ref="J107">IF(B107="","", INDEX(Ingredients!G:G, MATCH(B107, Ingredients!B:B,0)))</f>
        <v/>
      </c>
      <c r="K107" s="42"/>
      <c r="L107" s="299"/>
      <c r="M107" s="301" t="str">
        <f t="array" ref="M107">IF(B107="","", INDEX(Ingredients!H:H, MATCH(B107, Ingredients!B:B,0)))</f>
        <v/>
      </c>
      <c r="N107" s="42"/>
      <c r="O107" s="42"/>
      <c r="P107" s="299"/>
      <c r="Q107" s="302" t="str">
        <f t="shared" si="1"/>
        <v/>
      </c>
      <c r="R107" s="42"/>
      <c r="S107" s="42"/>
      <c r="T107" s="44"/>
      <c r="U107" s="114"/>
      <c r="V107" s="101"/>
      <c r="W107" s="298"/>
      <c r="X107" s="42"/>
      <c r="Y107" s="42"/>
      <c r="Z107" s="42"/>
      <c r="AA107" s="299"/>
      <c r="AB107" s="300"/>
      <c r="AC107" s="42"/>
      <c r="AD107" s="299"/>
      <c r="AE107" s="301" t="str">
        <f t="array" ref="AE107">IF(W107="","", INDEX(Other!G:G, MATCH(W107, Other!B:B,0)))</f>
        <v/>
      </c>
      <c r="AF107" s="42"/>
      <c r="AG107" s="299"/>
      <c r="AH107" s="301" t="str">
        <f t="array" ref="AH107">IF(W107="","", INDEX(Other!H:H, MATCH(W107, Other!B:B,0)))</f>
        <v/>
      </c>
      <c r="AI107" s="42"/>
      <c r="AJ107" s="42"/>
      <c r="AK107" s="299"/>
      <c r="AL107" s="301" t="str">
        <f t="shared" si="2"/>
        <v/>
      </c>
      <c r="AM107" s="42"/>
      <c r="AN107" s="42"/>
      <c r="AO107" s="44"/>
      <c r="AP107" s="114"/>
      <c r="AQ107" s="83"/>
      <c r="AR107" s="83"/>
      <c r="AS107" s="83"/>
      <c r="AT107" s="83"/>
      <c r="AU107" s="83"/>
      <c r="AV107" s="83"/>
      <c r="AW107" s="83"/>
      <c r="AX107" s="83"/>
      <c r="AY107" s="83"/>
      <c r="AZ107" s="83"/>
      <c r="BA107" s="83"/>
      <c r="BB107" s="83"/>
    </row>
    <row r="108">
      <c r="A108" s="101"/>
      <c r="B108" s="298"/>
      <c r="C108" s="42"/>
      <c r="D108" s="42"/>
      <c r="E108" s="42"/>
      <c r="F108" s="299"/>
      <c r="G108" s="300"/>
      <c r="H108" s="42"/>
      <c r="I108" s="299"/>
      <c r="J108" s="301" t="str">
        <f t="array" ref="J108">IF(B108="","", INDEX(Ingredients!G:G, MATCH(B108, Ingredients!B:B,0)))</f>
        <v/>
      </c>
      <c r="K108" s="42"/>
      <c r="L108" s="299"/>
      <c r="M108" s="301" t="str">
        <f t="array" ref="M108">IF(B108="","", INDEX(Ingredients!H:H, MATCH(B108, Ingredients!B:B,0)))</f>
        <v/>
      </c>
      <c r="N108" s="42"/>
      <c r="O108" s="42"/>
      <c r="P108" s="299"/>
      <c r="Q108" s="302" t="str">
        <f t="shared" si="1"/>
        <v/>
      </c>
      <c r="R108" s="42"/>
      <c r="S108" s="42"/>
      <c r="T108" s="44"/>
      <c r="U108" s="114"/>
      <c r="V108" s="101"/>
      <c r="W108" s="298"/>
      <c r="X108" s="42"/>
      <c r="Y108" s="42"/>
      <c r="Z108" s="42"/>
      <c r="AA108" s="299"/>
      <c r="AB108" s="300"/>
      <c r="AC108" s="42"/>
      <c r="AD108" s="299"/>
      <c r="AE108" s="301" t="str">
        <f t="array" ref="AE108">IF(W108="","", INDEX(Other!G:G, MATCH(W108, Other!B:B,0)))</f>
        <v/>
      </c>
      <c r="AF108" s="42"/>
      <c r="AG108" s="299"/>
      <c r="AH108" s="301" t="str">
        <f t="array" ref="AH108">IF(W108="","", INDEX(Other!H:H, MATCH(W108, Other!B:B,0)))</f>
        <v/>
      </c>
      <c r="AI108" s="42"/>
      <c r="AJ108" s="42"/>
      <c r="AK108" s="299"/>
      <c r="AL108" s="301" t="str">
        <f t="shared" si="2"/>
        <v/>
      </c>
      <c r="AM108" s="42"/>
      <c r="AN108" s="42"/>
      <c r="AO108" s="44"/>
      <c r="AP108" s="114"/>
      <c r="AQ108" s="83"/>
      <c r="AR108" s="83"/>
      <c r="AS108" s="83"/>
      <c r="AT108" s="83"/>
      <c r="AU108" s="83"/>
      <c r="AV108" s="83"/>
      <c r="AW108" s="83"/>
      <c r="AX108" s="83"/>
      <c r="AY108" s="83"/>
      <c r="AZ108" s="83"/>
      <c r="BA108" s="83"/>
      <c r="BB108" s="83"/>
    </row>
    <row r="109">
      <c r="A109" s="101"/>
      <c r="B109" s="298"/>
      <c r="C109" s="42"/>
      <c r="D109" s="42"/>
      <c r="E109" s="42"/>
      <c r="F109" s="299"/>
      <c r="G109" s="300"/>
      <c r="H109" s="42"/>
      <c r="I109" s="299"/>
      <c r="J109" s="301" t="str">
        <f t="array" ref="J109">IF(B109="","", INDEX(Ingredients!G:G, MATCH(B109, Ingredients!B:B,0)))</f>
        <v/>
      </c>
      <c r="K109" s="42"/>
      <c r="L109" s="299"/>
      <c r="M109" s="301" t="str">
        <f t="array" ref="M109">IF(B109="","", INDEX(Ingredients!H:H, MATCH(B109, Ingredients!B:B,0)))</f>
        <v/>
      </c>
      <c r="N109" s="42"/>
      <c r="O109" s="42"/>
      <c r="P109" s="299"/>
      <c r="Q109" s="302" t="str">
        <f t="shared" si="1"/>
        <v/>
      </c>
      <c r="R109" s="42"/>
      <c r="S109" s="42"/>
      <c r="T109" s="44"/>
      <c r="U109" s="114"/>
      <c r="V109" s="101"/>
      <c r="W109" s="298"/>
      <c r="X109" s="42"/>
      <c r="Y109" s="42"/>
      <c r="Z109" s="42"/>
      <c r="AA109" s="299"/>
      <c r="AB109" s="300"/>
      <c r="AC109" s="42"/>
      <c r="AD109" s="299"/>
      <c r="AE109" s="301" t="str">
        <f t="array" ref="AE109">IF(W109="","", INDEX(Other!G:G, MATCH(W109, Other!B:B,0)))</f>
        <v/>
      </c>
      <c r="AF109" s="42"/>
      <c r="AG109" s="299"/>
      <c r="AH109" s="301" t="str">
        <f t="array" ref="AH109">IF(W109="","", INDEX(Other!H:H, MATCH(W109, Other!B:B,0)))</f>
        <v/>
      </c>
      <c r="AI109" s="42"/>
      <c r="AJ109" s="42"/>
      <c r="AK109" s="299"/>
      <c r="AL109" s="301" t="str">
        <f t="shared" si="2"/>
        <v/>
      </c>
      <c r="AM109" s="42"/>
      <c r="AN109" s="42"/>
      <c r="AO109" s="44"/>
      <c r="AP109" s="114"/>
      <c r="AQ109" s="83"/>
      <c r="AR109" s="83"/>
      <c r="AS109" s="83"/>
      <c r="AT109" s="83"/>
      <c r="AU109" s="83"/>
      <c r="AV109" s="83"/>
      <c r="AW109" s="83"/>
      <c r="AX109" s="83"/>
      <c r="AY109" s="83"/>
      <c r="AZ109" s="83"/>
      <c r="BA109" s="83"/>
      <c r="BB109" s="83"/>
    </row>
    <row r="110">
      <c r="A110" s="101"/>
      <c r="B110" s="298"/>
      <c r="C110" s="42"/>
      <c r="D110" s="42"/>
      <c r="E110" s="42"/>
      <c r="F110" s="299"/>
      <c r="G110" s="300"/>
      <c r="H110" s="42"/>
      <c r="I110" s="299"/>
      <c r="J110" s="301" t="str">
        <f t="array" ref="J110">IF(B110="","", INDEX(Ingredients!G:G, MATCH(B110, Ingredients!B:B,0)))</f>
        <v/>
      </c>
      <c r="K110" s="42"/>
      <c r="L110" s="299"/>
      <c r="M110" s="301" t="str">
        <f t="array" ref="M110">IF(B110="","", INDEX(Ingredients!H:H, MATCH(B110, Ingredients!B:B,0)))</f>
        <v/>
      </c>
      <c r="N110" s="42"/>
      <c r="O110" s="42"/>
      <c r="P110" s="299"/>
      <c r="Q110" s="302" t="str">
        <f t="shared" si="1"/>
        <v/>
      </c>
      <c r="R110" s="42"/>
      <c r="S110" s="42"/>
      <c r="T110" s="44"/>
      <c r="U110" s="114"/>
      <c r="V110" s="101"/>
      <c r="W110" s="298"/>
      <c r="X110" s="42"/>
      <c r="Y110" s="42"/>
      <c r="Z110" s="42"/>
      <c r="AA110" s="299"/>
      <c r="AB110" s="300"/>
      <c r="AC110" s="42"/>
      <c r="AD110" s="299"/>
      <c r="AE110" s="301" t="str">
        <f t="array" ref="AE110">IF(W110="","", INDEX(Other!G:G, MATCH(W110, Other!B:B,0)))</f>
        <v/>
      </c>
      <c r="AF110" s="42"/>
      <c r="AG110" s="299"/>
      <c r="AH110" s="301" t="str">
        <f t="array" ref="AH110">IF(W110="","", INDEX(Other!H:H, MATCH(W110, Other!B:B,0)))</f>
        <v/>
      </c>
      <c r="AI110" s="42"/>
      <c r="AJ110" s="42"/>
      <c r="AK110" s="299"/>
      <c r="AL110" s="301" t="str">
        <f t="shared" si="2"/>
        <v/>
      </c>
      <c r="AM110" s="42"/>
      <c r="AN110" s="42"/>
      <c r="AO110" s="44"/>
      <c r="AP110" s="114"/>
      <c r="AQ110" s="83"/>
      <c r="AR110" s="83"/>
      <c r="AS110" s="83"/>
      <c r="AT110" s="83"/>
      <c r="AU110" s="83"/>
      <c r="AV110" s="83"/>
      <c r="AW110" s="83"/>
      <c r="AX110" s="83"/>
      <c r="AY110" s="83"/>
      <c r="AZ110" s="83"/>
      <c r="BA110" s="83"/>
      <c r="BB110" s="83"/>
    </row>
    <row r="111">
      <c r="A111" s="101"/>
      <c r="B111" s="298"/>
      <c r="C111" s="42"/>
      <c r="D111" s="42"/>
      <c r="E111" s="42"/>
      <c r="F111" s="299"/>
      <c r="G111" s="300"/>
      <c r="H111" s="42"/>
      <c r="I111" s="299"/>
      <c r="J111" s="301" t="str">
        <f t="array" ref="J111">IF(B111="","", INDEX(Ingredients!G:G, MATCH(B111, Ingredients!B:B,0)))</f>
        <v/>
      </c>
      <c r="K111" s="42"/>
      <c r="L111" s="299"/>
      <c r="M111" s="301" t="str">
        <f t="array" ref="M111">IF(B111="","", INDEX(Ingredients!H:H, MATCH(B111, Ingredients!B:B,0)))</f>
        <v/>
      </c>
      <c r="N111" s="42"/>
      <c r="O111" s="42"/>
      <c r="P111" s="299"/>
      <c r="Q111" s="302" t="str">
        <f t="shared" si="1"/>
        <v/>
      </c>
      <c r="R111" s="42"/>
      <c r="S111" s="42"/>
      <c r="T111" s="44"/>
      <c r="U111" s="114"/>
      <c r="V111" s="101"/>
      <c r="W111" s="298"/>
      <c r="X111" s="42"/>
      <c r="Y111" s="42"/>
      <c r="Z111" s="42"/>
      <c r="AA111" s="299"/>
      <c r="AB111" s="300"/>
      <c r="AC111" s="42"/>
      <c r="AD111" s="299"/>
      <c r="AE111" s="301" t="str">
        <f t="array" ref="AE111">IF(W111="","", INDEX(Other!G:G, MATCH(W111, Other!B:B,0)))</f>
        <v/>
      </c>
      <c r="AF111" s="42"/>
      <c r="AG111" s="299"/>
      <c r="AH111" s="301" t="str">
        <f t="array" ref="AH111">IF(W111="","", INDEX(Other!H:H, MATCH(W111, Other!B:B,0)))</f>
        <v/>
      </c>
      <c r="AI111" s="42"/>
      <c r="AJ111" s="42"/>
      <c r="AK111" s="299"/>
      <c r="AL111" s="301" t="str">
        <f t="shared" si="2"/>
        <v/>
      </c>
      <c r="AM111" s="42"/>
      <c r="AN111" s="42"/>
      <c r="AO111" s="44"/>
      <c r="AP111" s="114"/>
      <c r="AQ111" s="83"/>
      <c r="AR111" s="83"/>
      <c r="AS111" s="83"/>
      <c r="AT111" s="83"/>
      <c r="AU111" s="83"/>
      <c r="AV111" s="83"/>
      <c r="AW111" s="83"/>
      <c r="AX111" s="83"/>
      <c r="AY111" s="83"/>
      <c r="AZ111" s="83"/>
      <c r="BA111" s="83"/>
      <c r="BB111" s="83"/>
    </row>
    <row r="112">
      <c r="A112" s="101"/>
      <c r="B112" s="298"/>
      <c r="C112" s="42"/>
      <c r="D112" s="42"/>
      <c r="E112" s="42"/>
      <c r="F112" s="299"/>
      <c r="G112" s="300"/>
      <c r="H112" s="42"/>
      <c r="I112" s="299"/>
      <c r="J112" s="301" t="str">
        <f t="array" ref="J112">IF(B112="","", INDEX(Ingredients!G:G, MATCH(B112, Ingredients!B:B,0)))</f>
        <v/>
      </c>
      <c r="K112" s="42"/>
      <c r="L112" s="299"/>
      <c r="M112" s="301" t="str">
        <f t="array" ref="M112">IF(B112="","", INDEX(Ingredients!H:H, MATCH(B112, Ingredients!B:B,0)))</f>
        <v/>
      </c>
      <c r="N112" s="42"/>
      <c r="O112" s="42"/>
      <c r="P112" s="299"/>
      <c r="Q112" s="302" t="str">
        <f t="shared" si="1"/>
        <v/>
      </c>
      <c r="R112" s="42"/>
      <c r="S112" s="42"/>
      <c r="T112" s="44"/>
      <c r="U112" s="114"/>
      <c r="V112" s="101"/>
      <c r="W112" s="298"/>
      <c r="X112" s="42"/>
      <c r="Y112" s="42"/>
      <c r="Z112" s="42"/>
      <c r="AA112" s="299"/>
      <c r="AB112" s="300"/>
      <c r="AC112" s="42"/>
      <c r="AD112" s="299"/>
      <c r="AE112" s="301" t="str">
        <f t="array" ref="AE112">IF(W112="","", INDEX(Other!G:G, MATCH(W112, Other!B:B,0)))</f>
        <v/>
      </c>
      <c r="AF112" s="42"/>
      <c r="AG112" s="299"/>
      <c r="AH112" s="301" t="str">
        <f t="array" ref="AH112">IF(W112="","", INDEX(Other!H:H, MATCH(W112, Other!B:B,0)))</f>
        <v/>
      </c>
      <c r="AI112" s="42"/>
      <c r="AJ112" s="42"/>
      <c r="AK112" s="299"/>
      <c r="AL112" s="301" t="str">
        <f t="shared" si="2"/>
        <v/>
      </c>
      <c r="AM112" s="42"/>
      <c r="AN112" s="42"/>
      <c r="AO112" s="44"/>
      <c r="AP112" s="114"/>
      <c r="AQ112" s="83"/>
      <c r="AR112" s="83"/>
      <c r="AS112" s="83"/>
      <c r="AT112" s="83"/>
      <c r="AU112" s="83"/>
      <c r="AV112" s="83"/>
      <c r="AW112" s="83"/>
      <c r="AX112" s="83"/>
      <c r="AY112" s="83"/>
      <c r="AZ112" s="83"/>
      <c r="BA112" s="83"/>
      <c r="BB112" s="83"/>
    </row>
    <row r="113">
      <c r="A113" s="101"/>
      <c r="B113" s="298"/>
      <c r="C113" s="42"/>
      <c r="D113" s="42"/>
      <c r="E113" s="42"/>
      <c r="F113" s="299"/>
      <c r="G113" s="300"/>
      <c r="H113" s="42"/>
      <c r="I113" s="299"/>
      <c r="J113" s="301" t="str">
        <f t="array" ref="J113">IF(B113="","", INDEX(Ingredients!G:G, MATCH(B113, Ingredients!B:B,0)))</f>
        <v/>
      </c>
      <c r="K113" s="42"/>
      <c r="L113" s="299"/>
      <c r="M113" s="301" t="str">
        <f t="array" ref="M113">IF(B113="","", INDEX(Ingredients!H:H, MATCH(B113, Ingredients!B:B,0)))</f>
        <v/>
      </c>
      <c r="N113" s="42"/>
      <c r="O113" s="42"/>
      <c r="P113" s="299"/>
      <c r="Q113" s="302" t="str">
        <f t="shared" si="1"/>
        <v/>
      </c>
      <c r="R113" s="42"/>
      <c r="S113" s="42"/>
      <c r="T113" s="44"/>
      <c r="U113" s="114"/>
      <c r="V113" s="101"/>
      <c r="W113" s="298"/>
      <c r="X113" s="42"/>
      <c r="Y113" s="42"/>
      <c r="Z113" s="42"/>
      <c r="AA113" s="299"/>
      <c r="AB113" s="300"/>
      <c r="AC113" s="42"/>
      <c r="AD113" s="299"/>
      <c r="AE113" s="301" t="str">
        <f t="array" ref="AE113">IF(W113="","", INDEX(Other!G:G, MATCH(W113, Other!B:B,0)))</f>
        <v/>
      </c>
      <c r="AF113" s="42"/>
      <c r="AG113" s="299"/>
      <c r="AH113" s="301" t="str">
        <f t="array" ref="AH113">IF(W113="","", INDEX(Other!H:H, MATCH(W113, Other!B:B,0)))</f>
        <v/>
      </c>
      <c r="AI113" s="42"/>
      <c r="AJ113" s="42"/>
      <c r="AK113" s="299"/>
      <c r="AL113" s="301" t="str">
        <f t="shared" si="2"/>
        <v/>
      </c>
      <c r="AM113" s="42"/>
      <c r="AN113" s="42"/>
      <c r="AO113" s="44"/>
      <c r="AP113" s="114"/>
      <c r="AQ113" s="83"/>
      <c r="AR113" s="83"/>
      <c r="AS113" s="83"/>
      <c r="AT113" s="83"/>
      <c r="AU113" s="83"/>
      <c r="AV113" s="83"/>
      <c r="AW113" s="83"/>
      <c r="AX113" s="83"/>
      <c r="AY113" s="83"/>
      <c r="AZ113" s="83"/>
      <c r="BA113" s="83"/>
      <c r="BB113" s="83"/>
    </row>
    <row r="114">
      <c r="A114" s="101"/>
      <c r="B114" s="298"/>
      <c r="C114" s="42"/>
      <c r="D114" s="42"/>
      <c r="E114" s="42"/>
      <c r="F114" s="299"/>
      <c r="G114" s="300"/>
      <c r="H114" s="42"/>
      <c r="I114" s="299"/>
      <c r="J114" s="301" t="str">
        <f t="array" ref="J114">IF(B114="","", INDEX(Ingredients!G:G, MATCH(B114, Ingredients!B:B,0)))</f>
        <v/>
      </c>
      <c r="K114" s="42"/>
      <c r="L114" s="299"/>
      <c r="M114" s="301" t="str">
        <f t="array" ref="M114">IF(B114="","", INDEX(Ingredients!H:H, MATCH(B114, Ingredients!B:B,0)))</f>
        <v/>
      </c>
      <c r="N114" s="42"/>
      <c r="O114" s="42"/>
      <c r="P114" s="299"/>
      <c r="Q114" s="302" t="str">
        <f t="shared" si="1"/>
        <v/>
      </c>
      <c r="R114" s="42"/>
      <c r="S114" s="42"/>
      <c r="T114" s="44"/>
      <c r="U114" s="114"/>
      <c r="V114" s="101"/>
      <c r="W114" s="298"/>
      <c r="X114" s="42"/>
      <c r="Y114" s="42"/>
      <c r="Z114" s="42"/>
      <c r="AA114" s="299"/>
      <c r="AB114" s="300"/>
      <c r="AC114" s="42"/>
      <c r="AD114" s="299"/>
      <c r="AE114" s="301" t="str">
        <f t="array" ref="AE114">IF(W114="","", INDEX(Other!G:G, MATCH(W114, Other!B:B,0)))</f>
        <v/>
      </c>
      <c r="AF114" s="42"/>
      <c r="AG114" s="299"/>
      <c r="AH114" s="301" t="str">
        <f t="array" ref="AH114">IF(W114="","", INDEX(Other!H:H, MATCH(W114, Other!B:B,0)))</f>
        <v/>
      </c>
      <c r="AI114" s="42"/>
      <c r="AJ114" s="42"/>
      <c r="AK114" s="299"/>
      <c r="AL114" s="301" t="str">
        <f t="shared" si="2"/>
        <v/>
      </c>
      <c r="AM114" s="42"/>
      <c r="AN114" s="42"/>
      <c r="AO114" s="44"/>
      <c r="AP114" s="114"/>
      <c r="AQ114" s="83"/>
      <c r="AR114" s="83"/>
      <c r="AS114" s="83"/>
      <c r="AT114" s="83"/>
      <c r="AU114" s="83"/>
      <c r="AV114" s="83"/>
      <c r="AW114" s="83"/>
      <c r="AX114" s="83"/>
      <c r="AY114" s="83"/>
      <c r="AZ114" s="83"/>
      <c r="BA114" s="83"/>
      <c r="BB114" s="83"/>
    </row>
    <row r="115">
      <c r="A115" s="101"/>
      <c r="B115" s="298"/>
      <c r="C115" s="42"/>
      <c r="D115" s="42"/>
      <c r="E115" s="42"/>
      <c r="F115" s="299"/>
      <c r="G115" s="300"/>
      <c r="H115" s="42"/>
      <c r="I115" s="299"/>
      <c r="J115" s="301" t="str">
        <f t="array" ref="J115">IF(B115="","", INDEX(Ingredients!G:G, MATCH(B115, Ingredients!B:B,0)))</f>
        <v/>
      </c>
      <c r="K115" s="42"/>
      <c r="L115" s="299"/>
      <c r="M115" s="301" t="str">
        <f t="array" ref="M115">IF(B115="","", INDEX(Ingredients!H:H, MATCH(B115, Ingredients!B:B,0)))</f>
        <v/>
      </c>
      <c r="N115" s="42"/>
      <c r="O115" s="42"/>
      <c r="P115" s="299"/>
      <c r="Q115" s="302" t="str">
        <f t="shared" si="1"/>
        <v/>
      </c>
      <c r="R115" s="42"/>
      <c r="S115" s="42"/>
      <c r="T115" s="44"/>
      <c r="U115" s="114"/>
      <c r="V115" s="101"/>
      <c r="W115" s="298"/>
      <c r="X115" s="42"/>
      <c r="Y115" s="42"/>
      <c r="Z115" s="42"/>
      <c r="AA115" s="299"/>
      <c r="AB115" s="300"/>
      <c r="AC115" s="42"/>
      <c r="AD115" s="299"/>
      <c r="AE115" s="301" t="str">
        <f t="array" ref="AE115">IF(W115="","", INDEX(Other!G:G, MATCH(W115, Other!B:B,0)))</f>
        <v/>
      </c>
      <c r="AF115" s="42"/>
      <c r="AG115" s="299"/>
      <c r="AH115" s="301" t="str">
        <f t="array" ref="AH115">IF(W115="","", INDEX(Other!H:H, MATCH(W115, Other!B:B,0)))</f>
        <v/>
      </c>
      <c r="AI115" s="42"/>
      <c r="AJ115" s="42"/>
      <c r="AK115" s="299"/>
      <c r="AL115" s="301" t="str">
        <f t="shared" si="2"/>
        <v/>
      </c>
      <c r="AM115" s="42"/>
      <c r="AN115" s="42"/>
      <c r="AO115" s="44"/>
      <c r="AP115" s="114"/>
      <c r="AQ115" s="83"/>
      <c r="AR115" s="83"/>
      <c r="AS115" s="83"/>
      <c r="AT115" s="83"/>
      <c r="AU115" s="83"/>
      <c r="AV115" s="83"/>
      <c r="AW115" s="83"/>
      <c r="AX115" s="83"/>
      <c r="AY115" s="83"/>
      <c r="AZ115" s="83"/>
      <c r="BA115" s="83"/>
      <c r="BB115" s="83"/>
    </row>
    <row r="116">
      <c r="A116" s="101"/>
      <c r="B116" s="298"/>
      <c r="C116" s="42"/>
      <c r="D116" s="42"/>
      <c r="E116" s="42"/>
      <c r="F116" s="299"/>
      <c r="G116" s="300"/>
      <c r="H116" s="42"/>
      <c r="I116" s="299"/>
      <c r="J116" s="301" t="str">
        <f t="array" ref="J116">IF(B116="","", INDEX(Ingredients!G:G, MATCH(B116, Ingredients!B:B,0)))</f>
        <v/>
      </c>
      <c r="K116" s="42"/>
      <c r="L116" s="299"/>
      <c r="M116" s="301" t="str">
        <f t="array" ref="M116">IF(B116="","", INDEX(Ingredients!H:H, MATCH(B116, Ingredients!B:B,0)))</f>
        <v/>
      </c>
      <c r="N116" s="42"/>
      <c r="O116" s="42"/>
      <c r="P116" s="299"/>
      <c r="Q116" s="302" t="str">
        <f t="shared" si="1"/>
        <v/>
      </c>
      <c r="R116" s="42"/>
      <c r="S116" s="42"/>
      <c r="T116" s="44"/>
      <c r="U116" s="114"/>
      <c r="V116" s="101"/>
      <c r="W116" s="298"/>
      <c r="X116" s="42"/>
      <c r="Y116" s="42"/>
      <c r="Z116" s="42"/>
      <c r="AA116" s="299"/>
      <c r="AB116" s="300"/>
      <c r="AC116" s="42"/>
      <c r="AD116" s="299"/>
      <c r="AE116" s="301" t="str">
        <f t="array" ref="AE116">IF(W116="","", INDEX(Other!G:G, MATCH(W116, Other!B:B,0)))</f>
        <v/>
      </c>
      <c r="AF116" s="42"/>
      <c r="AG116" s="299"/>
      <c r="AH116" s="301" t="str">
        <f t="array" ref="AH116">IF(W116="","", INDEX(Other!H:H, MATCH(W116, Other!B:B,0)))</f>
        <v/>
      </c>
      <c r="AI116" s="42"/>
      <c r="AJ116" s="42"/>
      <c r="AK116" s="299"/>
      <c r="AL116" s="301" t="str">
        <f t="shared" si="2"/>
        <v/>
      </c>
      <c r="AM116" s="42"/>
      <c r="AN116" s="42"/>
      <c r="AO116" s="44"/>
      <c r="AP116" s="114"/>
      <c r="AQ116" s="83"/>
      <c r="AR116" s="83"/>
      <c r="AS116" s="83"/>
      <c r="AT116" s="83"/>
      <c r="AU116" s="83"/>
      <c r="AV116" s="83"/>
      <c r="AW116" s="83"/>
      <c r="AX116" s="83"/>
      <c r="AY116" s="83"/>
      <c r="AZ116" s="83"/>
      <c r="BA116" s="83"/>
      <c r="BB116" s="83"/>
    </row>
    <row r="117">
      <c r="A117" s="101"/>
      <c r="B117" s="298"/>
      <c r="C117" s="42"/>
      <c r="D117" s="42"/>
      <c r="E117" s="42"/>
      <c r="F117" s="299"/>
      <c r="G117" s="300"/>
      <c r="H117" s="42"/>
      <c r="I117" s="299"/>
      <c r="J117" s="301" t="str">
        <f t="array" ref="J117">IF(B117="","", INDEX(Ingredients!G:G, MATCH(B117, Ingredients!B:B,0)))</f>
        <v/>
      </c>
      <c r="K117" s="42"/>
      <c r="L117" s="299"/>
      <c r="M117" s="301" t="str">
        <f t="array" ref="M117">IF(B117="","", INDEX(Ingredients!H:H, MATCH(B117, Ingredients!B:B,0)))</f>
        <v/>
      </c>
      <c r="N117" s="42"/>
      <c r="O117" s="42"/>
      <c r="P117" s="299"/>
      <c r="Q117" s="302" t="str">
        <f t="shared" si="1"/>
        <v/>
      </c>
      <c r="R117" s="42"/>
      <c r="S117" s="42"/>
      <c r="T117" s="44"/>
      <c r="U117" s="114"/>
      <c r="V117" s="101"/>
      <c r="W117" s="298"/>
      <c r="X117" s="42"/>
      <c r="Y117" s="42"/>
      <c r="Z117" s="42"/>
      <c r="AA117" s="299"/>
      <c r="AB117" s="300"/>
      <c r="AC117" s="42"/>
      <c r="AD117" s="299"/>
      <c r="AE117" s="301" t="str">
        <f t="array" ref="AE117">IF(W117="","", INDEX(Other!G:G, MATCH(W117, Other!B:B,0)))</f>
        <v/>
      </c>
      <c r="AF117" s="42"/>
      <c r="AG117" s="299"/>
      <c r="AH117" s="301" t="str">
        <f t="array" ref="AH117">IF(W117="","", INDEX(Other!H:H, MATCH(W117, Other!B:B,0)))</f>
        <v/>
      </c>
      <c r="AI117" s="42"/>
      <c r="AJ117" s="42"/>
      <c r="AK117" s="299"/>
      <c r="AL117" s="301" t="str">
        <f t="shared" si="2"/>
        <v/>
      </c>
      <c r="AM117" s="42"/>
      <c r="AN117" s="42"/>
      <c r="AO117" s="44"/>
      <c r="AP117" s="114"/>
      <c r="AQ117" s="83"/>
      <c r="AR117" s="83"/>
      <c r="AS117" s="83"/>
      <c r="AT117" s="83"/>
      <c r="AU117" s="83"/>
      <c r="AV117" s="83"/>
      <c r="AW117" s="83"/>
      <c r="AX117" s="83"/>
      <c r="AY117" s="83"/>
      <c r="AZ117" s="83"/>
      <c r="BA117" s="83"/>
      <c r="BB117" s="83"/>
    </row>
    <row r="118">
      <c r="A118" s="101"/>
      <c r="B118" s="298"/>
      <c r="C118" s="42"/>
      <c r="D118" s="42"/>
      <c r="E118" s="42"/>
      <c r="F118" s="299"/>
      <c r="G118" s="300"/>
      <c r="H118" s="42"/>
      <c r="I118" s="299"/>
      <c r="J118" s="301" t="str">
        <f t="array" ref="J118">IF(B118="","", INDEX(Ingredients!G:G, MATCH(B118, Ingredients!B:B,0)))</f>
        <v/>
      </c>
      <c r="K118" s="42"/>
      <c r="L118" s="299"/>
      <c r="M118" s="301" t="str">
        <f t="array" ref="M118">IF(B118="","", INDEX(Ingredients!H:H, MATCH(B118, Ingredients!B:B,0)))</f>
        <v/>
      </c>
      <c r="N118" s="42"/>
      <c r="O118" s="42"/>
      <c r="P118" s="299"/>
      <c r="Q118" s="302" t="str">
        <f t="shared" si="1"/>
        <v/>
      </c>
      <c r="R118" s="42"/>
      <c r="S118" s="42"/>
      <c r="T118" s="44"/>
      <c r="U118" s="114"/>
      <c r="V118" s="101"/>
      <c r="W118" s="298"/>
      <c r="X118" s="42"/>
      <c r="Y118" s="42"/>
      <c r="Z118" s="42"/>
      <c r="AA118" s="299"/>
      <c r="AB118" s="300"/>
      <c r="AC118" s="42"/>
      <c r="AD118" s="299"/>
      <c r="AE118" s="301" t="str">
        <f t="array" ref="AE118">IF(W118="","", INDEX(Other!G:G, MATCH(W118, Other!B:B,0)))</f>
        <v/>
      </c>
      <c r="AF118" s="42"/>
      <c r="AG118" s="299"/>
      <c r="AH118" s="301" t="str">
        <f t="array" ref="AH118">IF(W118="","", INDEX(Other!H:H, MATCH(W118, Other!B:B,0)))</f>
        <v/>
      </c>
      <c r="AI118" s="42"/>
      <c r="AJ118" s="42"/>
      <c r="AK118" s="299"/>
      <c r="AL118" s="301" t="str">
        <f t="shared" si="2"/>
        <v/>
      </c>
      <c r="AM118" s="42"/>
      <c r="AN118" s="42"/>
      <c r="AO118" s="44"/>
      <c r="AP118" s="114"/>
      <c r="AQ118" s="83"/>
      <c r="AR118" s="83"/>
      <c r="AS118" s="83"/>
      <c r="AT118" s="83"/>
      <c r="AU118" s="83"/>
      <c r="AV118" s="83"/>
      <c r="AW118" s="83"/>
      <c r="AX118" s="83"/>
      <c r="AY118" s="83"/>
      <c r="AZ118" s="83"/>
      <c r="BA118" s="83"/>
      <c r="BB118" s="83"/>
    </row>
    <row r="119">
      <c r="A119" s="101"/>
      <c r="B119" s="298"/>
      <c r="C119" s="42"/>
      <c r="D119" s="42"/>
      <c r="E119" s="42"/>
      <c r="F119" s="299"/>
      <c r="G119" s="300"/>
      <c r="H119" s="42"/>
      <c r="I119" s="299"/>
      <c r="J119" s="301" t="str">
        <f t="array" ref="J119">IF(B119="","", INDEX(Ingredients!G:G, MATCH(B119, Ingredients!B:B,0)))</f>
        <v/>
      </c>
      <c r="K119" s="42"/>
      <c r="L119" s="299"/>
      <c r="M119" s="301" t="str">
        <f t="array" ref="M119">IF(B119="","", INDEX(Ingredients!H:H, MATCH(B119, Ingredients!B:B,0)))</f>
        <v/>
      </c>
      <c r="N119" s="42"/>
      <c r="O119" s="42"/>
      <c r="P119" s="299"/>
      <c r="Q119" s="302" t="str">
        <f t="shared" si="1"/>
        <v/>
      </c>
      <c r="R119" s="42"/>
      <c r="S119" s="42"/>
      <c r="T119" s="44"/>
      <c r="U119" s="114"/>
      <c r="V119" s="101"/>
      <c r="W119" s="298"/>
      <c r="X119" s="42"/>
      <c r="Y119" s="42"/>
      <c r="Z119" s="42"/>
      <c r="AA119" s="299"/>
      <c r="AB119" s="300"/>
      <c r="AC119" s="42"/>
      <c r="AD119" s="299"/>
      <c r="AE119" s="301" t="str">
        <f t="array" ref="AE119">IF(W119="","", INDEX(Other!G:G, MATCH(W119, Other!B:B,0)))</f>
        <v/>
      </c>
      <c r="AF119" s="42"/>
      <c r="AG119" s="299"/>
      <c r="AH119" s="301" t="str">
        <f t="array" ref="AH119">IF(W119="","", INDEX(Other!H:H, MATCH(W119, Other!B:B,0)))</f>
        <v/>
      </c>
      <c r="AI119" s="42"/>
      <c r="AJ119" s="42"/>
      <c r="AK119" s="299"/>
      <c r="AL119" s="301" t="str">
        <f t="shared" si="2"/>
        <v/>
      </c>
      <c r="AM119" s="42"/>
      <c r="AN119" s="42"/>
      <c r="AO119" s="44"/>
      <c r="AP119" s="114"/>
      <c r="AQ119" s="83"/>
      <c r="AR119" s="83"/>
      <c r="AS119" s="83"/>
      <c r="AT119" s="83"/>
      <c r="AU119" s="83"/>
      <c r="AV119" s="83"/>
      <c r="AW119" s="83"/>
      <c r="AX119" s="83"/>
      <c r="AY119" s="83"/>
      <c r="AZ119" s="83"/>
      <c r="BA119" s="83"/>
      <c r="BB119" s="83"/>
    </row>
    <row r="120">
      <c r="A120" s="101"/>
      <c r="B120" s="298"/>
      <c r="C120" s="42"/>
      <c r="D120" s="42"/>
      <c r="E120" s="42"/>
      <c r="F120" s="299"/>
      <c r="G120" s="300"/>
      <c r="H120" s="42"/>
      <c r="I120" s="299"/>
      <c r="J120" s="301" t="str">
        <f t="array" ref="J120">IF(B120="","", INDEX(Ingredients!G:G, MATCH(B120, Ingredients!B:B,0)))</f>
        <v/>
      </c>
      <c r="K120" s="42"/>
      <c r="L120" s="299"/>
      <c r="M120" s="301" t="str">
        <f t="array" ref="M120">IF(B120="","", INDEX(Ingredients!H:H, MATCH(B120, Ingredients!B:B,0)))</f>
        <v/>
      </c>
      <c r="N120" s="42"/>
      <c r="O120" s="42"/>
      <c r="P120" s="299"/>
      <c r="Q120" s="302" t="str">
        <f t="shared" si="1"/>
        <v/>
      </c>
      <c r="R120" s="42"/>
      <c r="S120" s="42"/>
      <c r="T120" s="44"/>
      <c r="U120" s="114"/>
      <c r="V120" s="101"/>
      <c r="W120" s="298"/>
      <c r="X120" s="42"/>
      <c r="Y120" s="42"/>
      <c r="Z120" s="42"/>
      <c r="AA120" s="299"/>
      <c r="AB120" s="300"/>
      <c r="AC120" s="42"/>
      <c r="AD120" s="299"/>
      <c r="AE120" s="301" t="str">
        <f t="array" ref="AE120">IF(W120="","", INDEX(Other!G:G, MATCH(W120, Other!B:B,0)))</f>
        <v/>
      </c>
      <c r="AF120" s="42"/>
      <c r="AG120" s="299"/>
      <c r="AH120" s="301" t="str">
        <f t="array" ref="AH120">IF(W120="","", INDEX(Other!H:H, MATCH(W120, Other!B:B,0)))</f>
        <v/>
      </c>
      <c r="AI120" s="42"/>
      <c r="AJ120" s="42"/>
      <c r="AK120" s="299"/>
      <c r="AL120" s="301" t="str">
        <f t="shared" si="2"/>
        <v/>
      </c>
      <c r="AM120" s="42"/>
      <c r="AN120" s="42"/>
      <c r="AO120" s="44"/>
      <c r="AP120" s="114"/>
      <c r="AQ120" s="83"/>
      <c r="AR120" s="83"/>
      <c r="AS120" s="83"/>
      <c r="AT120" s="83"/>
      <c r="AU120" s="83"/>
      <c r="AV120" s="83"/>
      <c r="AW120" s="83"/>
      <c r="AX120" s="83"/>
      <c r="AY120" s="83"/>
      <c r="AZ120" s="83"/>
      <c r="BA120" s="83"/>
      <c r="BB120" s="83"/>
    </row>
    <row r="121">
      <c r="A121" s="101"/>
      <c r="B121" s="298"/>
      <c r="C121" s="42"/>
      <c r="D121" s="42"/>
      <c r="E121" s="42"/>
      <c r="F121" s="299"/>
      <c r="G121" s="300"/>
      <c r="H121" s="42"/>
      <c r="I121" s="299"/>
      <c r="J121" s="301" t="str">
        <f t="array" ref="J121">IF(B121="","", INDEX(Ingredients!G:G, MATCH(B121, Ingredients!B:B,0)))</f>
        <v/>
      </c>
      <c r="K121" s="42"/>
      <c r="L121" s="299"/>
      <c r="M121" s="301" t="str">
        <f t="array" ref="M121">IF(B121="","", INDEX(Ingredients!H:H, MATCH(B121, Ingredients!B:B,0)))</f>
        <v/>
      </c>
      <c r="N121" s="42"/>
      <c r="O121" s="42"/>
      <c r="P121" s="299"/>
      <c r="Q121" s="302" t="str">
        <f t="shared" si="1"/>
        <v/>
      </c>
      <c r="R121" s="42"/>
      <c r="S121" s="42"/>
      <c r="T121" s="44"/>
      <c r="U121" s="114"/>
      <c r="V121" s="101"/>
      <c r="W121" s="298"/>
      <c r="X121" s="42"/>
      <c r="Y121" s="42"/>
      <c r="Z121" s="42"/>
      <c r="AA121" s="299"/>
      <c r="AB121" s="300"/>
      <c r="AC121" s="42"/>
      <c r="AD121" s="299"/>
      <c r="AE121" s="301" t="str">
        <f t="array" ref="AE121">IF(W121="","", INDEX(Other!G:G, MATCH(W121, Other!B:B,0)))</f>
        <v/>
      </c>
      <c r="AF121" s="42"/>
      <c r="AG121" s="299"/>
      <c r="AH121" s="301" t="str">
        <f t="array" ref="AH121">IF(W121="","", INDEX(Other!H:H, MATCH(W121, Other!B:B,0)))</f>
        <v/>
      </c>
      <c r="AI121" s="42"/>
      <c r="AJ121" s="42"/>
      <c r="AK121" s="299"/>
      <c r="AL121" s="301" t="str">
        <f t="shared" si="2"/>
        <v/>
      </c>
      <c r="AM121" s="42"/>
      <c r="AN121" s="42"/>
      <c r="AO121" s="44"/>
      <c r="AP121" s="114"/>
      <c r="AQ121" s="83"/>
      <c r="AR121" s="83"/>
      <c r="AS121" s="83"/>
      <c r="AT121" s="83"/>
      <c r="AU121" s="83"/>
      <c r="AV121" s="83"/>
      <c r="AW121" s="83"/>
      <c r="AX121" s="83"/>
      <c r="AY121" s="83"/>
      <c r="AZ121" s="83"/>
      <c r="BA121" s="83"/>
      <c r="BB121" s="83"/>
    </row>
    <row r="122">
      <c r="A122" s="101"/>
      <c r="B122" s="298"/>
      <c r="C122" s="42"/>
      <c r="D122" s="42"/>
      <c r="E122" s="42"/>
      <c r="F122" s="299"/>
      <c r="G122" s="300"/>
      <c r="H122" s="42"/>
      <c r="I122" s="299"/>
      <c r="J122" s="301" t="str">
        <f t="array" ref="J122">IF(B122="","", INDEX(Ingredients!G:G, MATCH(B122, Ingredients!B:B,0)))</f>
        <v/>
      </c>
      <c r="K122" s="42"/>
      <c r="L122" s="299"/>
      <c r="M122" s="301" t="str">
        <f t="array" ref="M122">IF(B122="","", INDEX(Ingredients!H:H, MATCH(B122, Ingredients!B:B,0)))</f>
        <v/>
      </c>
      <c r="N122" s="42"/>
      <c r="O122" s="42"/>
      <c r="P122" s="299"/>
      <c r="Q122" s="302" t="str">
        <f t="shared" si="1"/>
        <v/>
      </c>
      <c r="R122" s="42"/>
      <c r="S122" s="42"/>
      <c r="T122" s="44"/>
      <c r="U122" s="114"/>
      <c r="V122" s="101"/>
      <c r="W122" s="298"/>
      <c r="X122" s="42"/>
      <c r="Y122" s="42"/>
      <c r="Z122" s="42"/>
      <c r="AA122" s="299"/>
      <c r="AB122" s="300"/>
      <c r="AC122" s="42"/>
      <c r="AD122" s="299"/>
      <c r="AE122" s="301" t="str">
        <f t="array" ref="AE122">IF(W122="","", INDEX(Other!G:G, MATCH(W122, Other!B:B,0)))</f>
        <v/>
      </c>
      <c r="AF122" s="42"/>
      <c r="AG122" s="299"/>
      <c r="AH122" s="301" t="str">
        <f t="array" ref="AH122">IF(W122="","", INDEX(Other!H:H, MATCH(W122, Other!B:B,0)))</f>
        <v/>
      </c>
      <c r="AI122" s="42"/>
      <c r="AJ122" s="42"/>
      <c r="AK122" s="299"/>
      <c r="AL122" s="301" t="str">
        <f t="shared" si="2"/>
        <v/>
      </c>
      <c r="AM122" s="42"/>
      <c r="AN122" s="42"/>
      <c r="AO122" s="44"/>
      <c r="AP122" s="114"/>
      <c r="AQ122" s="83"/>
      <c r="AR122" s="83"/>
      <c r="AS122" s="83"/>
      <c r="AT122" s="83"/>
      <c r="AU122" s="83"/>
      <c r="AV122" s="83"/>
      <c r="AW122" s="83"/>
      <c r="AX122" s="83"/>
      <c r="AY122" s="83"/>
      <c r="AZ122" s="83"/>
      <c r="BA122" s="83"/>
      <c r="BB122" s="83"/>
    </row>
    <row r="123">
      <c r="A123" s="101"/>
      <c r="B123" s="298"/>
      <c r="C123" s="42"/>
      <c r="D123" s="42"/>
      <c r="E123" s="42"/>
      <c r="F123" s="299"/>
      <c r="G123" s="300"/>
      <c r="H123" s="42"/>
      <c r="I123" s="299"/>
      <c r="J123" s="301" t="str">
        <f t="array" ref="J123">IF(B123="","", INDEX(Ingredients!G:G, MATCH(B123, Ingredients!B:B,0)))</f>
        <v/>
      </c>
      <c r="K123" s="42"/>
      <c r="L123" s="299"/>
      <c r="M123" s="301" t="str">
        <f t="array" ref="M123">IF(B123="","", INDEX(Ingredients!H:H, MATCH(B123, Ingredients!B:B,0)))</f>
        <v/>
      </c>
      <c r="N123" s="42"/>
      <c r="O123" s="42"/>
      <c r="P123" s="299"/>
      <c r="Q123" s="302" t="str">
        <f t="shared" si="1"/>
        <v/>
      </c>
      <c r="R123" s="42"/>
      <c r="S123" s="42"/>
      <c r="T123" s="44"/>
      <c r="U123" s="114"/>
      <c r="V123" s="101"/>
      <c r="W123" s="298"/>
      <c r="X123" s="42"/>
      <c r="Y123" s="42"/>
      <c r="Z123" s="42"/>
      <c r="AA123" s="299"/>
      <c r="AB123" s="300"/>
      <c r="AC123" s="42"/>
      <c r="AD123" s="299"/>
      <c r="AE123" s="301" t="str">
        <f t="array" ref="AE123">IF(W123="","", INDEX(Other!G:G, MATCH(W123, Other!B:B,0)))</f>
        <v/>
      </c>
      <c r="AF123" s="42"/>
      <c r="AG123" s="299"/>
      <c r="AH123" s="301" t="str">
        <f t="array" ref="AH123">IF(W123="","", INDEX(Other!H:H, MATCH(W123, Other!B:B,0)))</f>
        <v/>
      </c>
      <c r="AI123" s="42"/>
      <c r="AJ123" s="42"/>
      <c r="AK123" s="299"/>
      <c r="AL123" s="301" t="str">
        <f t="shared" si="2"/>
        <v/>
      </c>
      <c r="AM123" s="42"/>
      <c r="AN123" s="42"/>
      <c r="AO123" s="44"/>
      <c r="AP123" s="114"/>
      <c r="AQ123" s="83"/>
      <c r="AR123" s="83"/>
      <c r="AS123" s="83"/>
      <c r="AT123" s="83"/>
      <c r="AU123" s="83"/>
      <c r="AV123" s="83"/>
      <c r="AW123" s="83"/>
      <c r="AX123" s="83"/>
      <c r="AY123" s="83"/>
      <c r="AZ123" s="83"/>
      <c r="BA123" s="83"/>
      <c r="BB123" s="83"/>
    </row>
    <row r="124">
      <c r="A124" s="101"/>
      <c r="B124" s="298"/>
      <c r="C124" s="42"/>
      <c r="D124" s="42"/>
      <c r="E124" s="42"/>
      <c r="F124" s="299"/>
      <c r="G124" s="300"/>
      <c r="H124" s="42"/>
      <c r="I124" s="299"/>
      <c r="J124" s="301" t="str">
        <f t="array" ref="J124">IF(B124="","", INDEX(Ingredients!G:G, MATCH(B124, Ingredients!B:B,0)))</f>
        <v/>
      </c>
      <c r="K124" s="42"/>
      <c r="L124" s="299"/>
      <c r="M124" s="301" t="str">
        <f t="array" ref="M124">IF(B124="","", INDEX(Ingredients!H:H, MATCH(B124, Ingredients!B:B,0)))</f>
        <v/>
      </c>
      <c r="N124" s="42"/>
      <c r="O124" s="42"/>
      <c r="P124" s="299"/>
      <c r="Q124" s="302" t="str">
        <f t="shared" si="1"/>
        <v/>
      </c>
      <c r="R124" s="42"/>
      <c r="S124" s="42"/>
      <c r="T124" s="44"/>
      <c r="U124" s="114"/>
      <c r="V124" s="101"/>
      <c r="W124" s="298"/>
      <c r="X124" s="42"/>
      <c r="Y124" s="42"/>
      <c r="Z124" s="42"/>
      <c r="AA124" s="299"/>
      <c r="AB124" s="300"/>
      <c r="AC124" s="42"/>
      <c r="AD124" s="299"/>
      <c r="AE124" s="301" t="str">
        <f t="array" ref="AE124">IF(W124="","", INDEX(Other!G:G, MATCH(W124, Other!B:B,0)))</f>
        <v/>
      </c>
      <c r="AF124" s="42"/>
      <c r="AG124" s="299"/>
      <c r="AH124" s="301" t="str">
        <f t="array" ref="AH124">IF(W124="","", INDEX(Other!H:H, MATCH(W124, Other!B:B,0)))</f>
        <v/>
      </c>
      <c r="AI124" s="42"/>
      <c r="AJ124" s="42"/>
      <c r="AK124" s="299"/>
      <c r="AL124" s="301" t="str">
        <f t="shared" si="2"/>
        <v/>
      </c>
      <c r="AM124" s="42"/>
      <c r="AN124" s="42"/>
      <c r="AO124" s="44"/>
      <c r="AP124" s="114"/>
      <c r="AQ124" s="83"/>
      <c r="AR124" s="83"/>
      <c r="AS124" s="83"/>
      <c r="AT124" s="83"/>
      <c r="AU124" s="83"/>
      <c r="AV124" s="83"/>
      <c r="AW124" s="83"/>
      <c r="AX124" s="83"/>
      <c r="AY124" s="83"/>
      <c r="AZ124" s="83"/>
      <c r="BA124" s="83"/>
      <c r="BB124" s="83"/>
    </row>
    <row r="125">
      <c r="A125" s="101"/>
      <c r="B125" s="298"/>
      <c r="C125" s="42"/>
      <c r="D125" s="42"/>
      <c r="E125" s="42"/>
      <c r="F125" s="299"/>
      <c r="G125" s="300"/>
      <c r="H125" s="42"/>
      <c r="I125" s="299"/>
      <c r="J125" s="301" t="str">
        <f t="array" ref="J125">IF(B125="","", INDEX(Ingredients!G:G, MATCH(B125, Ingredients!B:B,0)))</f>
        <v/>
      </c>
      <c r="K125" s="42"/>
      <c r="L125" s="299"/>
      <c r="M125" s="301" t="str">
        <f t="array" ref="M125">IF(B125="","", INDEX(Ingredients!H:H, MATCH(B125, Ingredients!B:B,0)))</f>
        <v/>
      </c>
      <c r="N125" s="42"/>
      <c r="O125" s="42"/>
      <c r="P125" s="299"/>
      <c r="Q125" s="302" t="str">
        <f t="shared" si="1"/>
        <v/>
      </c>
      <c r="R125" s="42"/>
      <c r="S125" s="42"/>
      <c r="T125" s="44"/>
      <c r="U125" s="114"/>
      <c r="V125" s="101"/>
      <c r="W125" s="298"/>
      <c r="X125" s="42"/>
      <c r="Y125" s="42"/>
      <c r="Z125" s="42"/>
      <c r="AA125" s="299"/>
      <c r="AB125" s="300"/>
      <c r="AC125" s="42"/>
      <c r="AD125" s="299"/>
      <c r="AE125" s="301" t="str">
        <f t="array" ref="AE125">IF(W125="","", INDEX(Other!G:G, MATCH(W125, Other!B:B,0)))</f>
        <v/>
      </c>
      <c r="AF125" s="42"/>
      <c r="AG125" s="299"/>
      <c r="AH125" s="301" t="str">
        <f t="array" ref="AH125">IF(W125="","", INDEX(Other!H:H, MATCH(W125, Other!B:B,0)))</f>
        <v/>
      </c>
      <c r="AI125" s="42"/>
      <c r="AJ125" s="42"/>
      <c r="AK125" s="299"/>
      <c r="AL125" s="301" t="str">
        <f t="shared" si="2"/>
        <v/>
      </c>
      <c r="AM125" s="42"/>
      <c r="AN125" s="42"/>
      <c r="AO125" s="44"/>
      <c r="AP125" s="114"/>
      <c r="AQ125" s="83"/>
      <c r="AR125" s="83"/>
      <c r="AS125" s="83"/>
      <c r="AT125" s="83"/>
      <c r="AU125" s="83"/>
      <c r="AV125" s="83"/>
      <c r="AW125" s="83"/>
      <c r="AX125" s="83"/>
      <c r="AY125" s="83"/>
      <c r="AZ125" s="83"/>
      <c r="BA125" s="83"/>
      <c r="BB125" s="83"/>
    </row>
    <row r="126">
      <c r="A126" s="101"/>
      <c r="B126" s="298"/>
      <c r="C126" s="42"/>
      <c r="D126" s="42"/>
      <c r="E126" s="42"/>
      <c r="F126" s="299"/>
      <c r="G126" s="300"/>
      <c r="H126" s="42"/>
      <c r="I126" s="299"/>
      <c r="J126" s="301" t="str">
        <f t="array" ref="J126">IF(B126="","", INDEX(Ingredients!G:G, MATCH(B126, Ingredients!B:B,0)))</f>
        <v/>
      </c>
      <c r="K126" s="42"/>
      <c r="L126" s="299"/>
      <c r="M126" s="301" t="str">
        <f t="array" ref="M126">IF(B126="","", INDEX(Ingredients!H:H, MATCH(B126, Ingredients!B:B,0)))</f>
        <v/>
      </c>
      <c r="N126" s="42"/>
      <c r="O126" s="42"/>
      <c r="P126" s="299"/>
      <c r="Q126" s="302" t="str">
        <f t="shared" si="1"/>
        <v/>
      </c>
      <c r="R126" s="42"/>
      <c r="S126" s="42"/>
      <c r="T126" s="44"/>
      <c r="U126" s="114"/>
      <c r="V126" s="101"/>
      <c r="W126" s="298"/>
      <c r="X126" s="42"/>
      <c r="Y126" s="42"/>
      <c r="Z126" s="42"/>
      <c r="AA126" s="299"/>
      <c r="AB126" s="300"/>
      <c r="AC126" s="42"/>
      <c r="AD126" s="299"/>
      <c r="AE126" s="301" t="str">
        <f t="array" ref="AE126">IF(W126="","", INDEX(Other!G:G, MATCH(W126, Other!B:B,0)))</f>
        <v/>
      </c>
      <c r="AF126" s="42"/>
      <c r="AG126" s="299"/>
      <c r="AH126" s="301" t="str">
        <f t="array" ref="AH126">IF(W126="","", INDEX(Other!H:H, MATCH(W126, Other!B:B,0)))</f>
        <v/>
      </c>
      <c r="AI126" s="42"/>
      <c r="AJ126" s="42"/>
      <c r="AK126" s="299"/>
      <c r="AL126" s="301" t="str">
        <f t="shared" si="2"/>
        <v/>
      </c>
      <c r="AM126" s="42"/>
      <c r="AN126" s="42"/>
      <c r="AO126" s="44"/>
      <c r="AP126" s="114"/>
      <c r="AQ126" s="83"/>
      <c r="AR126" s="83"/>
      <c r="AS126" s="83"/>
      <c r="AT126" s="83"/>
      <c r="AU126" s="83"/>
      <c r="AV126" s="83"/>
      <c r="AW126" s="83"/>
      <c r="AX126" s="83"/>
      <c r="AY126" s="83"/>
      <c r="AZ126" s="83"/>
      <c r="BA126" s="83"/>
      <c r="BB126" s="83"/>
    </row>
    <row r="127">
      <c r="A127" s="101"/>
      <c r="B127" s="298"/>
      <c r="C127" s="42"/>
      <c r="D127" s="42"/>
      <c r="E127" s="42"/>
      <c r="F127" s="299"/>
      <c r="G127" s="300"/>
      <c r="H127" s="42"/>
      <c r="I127" s="299"/>
      <c r="J127" s="301" t="str">
        <f t="array" ref="J127">IF(B127="","", INDEX(Ingredients!G:G, MATCH(B127, Ingredients!B:B,0)))</f>
        <v/>
      </c>
      <c r="K127" s="42"/>
      <c r="L127" s="299"/>
      <c r="M127" s="301" t="str">
        <f t="array" ref="M127">IF(B127="","", INDEX(Ingredients!H:H, MATCH(B127, Ingredients!B:B,0)))</f>
        <v/>
      </c>
      <c r="N127" s="42"/>
      <c r="O127" s="42"/>
      <c r="P127" s="299"/>
      <c r="Q127" s="302" t="str">
        <f t="shared" si="1"/>
        <v/>
      </c>
      <c r="R127" s="42"/>
      <c r="S127" s="42"/>
      <c r="T127" s="44"/>
      <c r="U127" s="114"/>
      <c r="V127" s="101"/>
      <c r="W127" s="298"/>
      <c r="X127" s="42"/>
      <c r="Y127" s="42"/>
      <c r="Z127" s="42"/>
      <c r="AA127" s="299"/>
      <c r="AB127" s="300"/>
      <c r="AC127" s="42"/>
      <c r="AD127" s="299"/>
      <c r="AE127" s="301" t="str">
        <f t="array" ref="AE127">IF(W127="","", INDEX(Other!G:G, MATCH(W127, Other!B:B,0)))</f>
        <v/>
      </c>
      <c r="AF127" s="42"/>
      <c r="AG127" s="299"/>
      <c r="AH127" s="301" t="str">
        <f t="array" ref="AH127">IF(W127="","", INDEX(Other!H:H, MATCH(W127, Other!B:B,0)))</f>
        <v/>
      </c>
      <c r="AI127" s="42"/>
      <c r="AJ127" s="42"/>
      <c r="AK127" s="299"/>
      <c r="AL127" s="301" t="str">
        <f t="shared" si="2"/>
        <v/>
      </c>
      <c r="AM127" s="42"/>
      <c r="AN127" s="42"/>
      <c r="AO127" s="44"/>
      <c r="AP127" s="114"/>
      <c r="AQ127" s="83"/>
      <c r="AR127" s="83"/>
      <c r="AS127" s="83"/>
      <c r="AT127" s="83"/>
      <c r="AU127" s="83"/>
      <c r="AV127" s="83"/>
      <c r="AW127" s="83"/>
      <c r="AX127" s="83"/>
      <c r="AY127" s="83"/>
      <c r="AZ127" s="83"/>
      <c r="BA127" s="83"/>
      <c r="BB127" s="83"/>
    </row>
    <row r="128">
      <c r="A128" s="101"/>
      <c r="B128" s="298"/>
      <c r="C128" s="42"/>
      <c r="D128" s="42"/>
      <c r="E128" s="42"/>
      <c r="F128" s="299"/>
      <c r="G128" s="300"/>
      <c r="H128" s="42"/>
      <c r="I128" s="299"/>
      <c r="J128" s="301" t="str">
        <f t="array" ref="J128">IF(B128="","", INDEX(Ingredients!G:G, MATCH(B128, Ingredients!B:B,0)))</f>
        <v/>
      </c>
      <c r="K128" s="42"/>
      <c r="L128" s="299"/>
      <c r="M128" s="301" t="str">
        <f t="array" ref="M128">IF(B128="","", INDEX(Ingredients!H:H, MATCH(B128, Ingredients!B:B,0)))</f>
        <v/>
      </c>
      <c r="N128" s="42"/>
      <c r="O128" s="42"/>
      <c r="P128" s="299"/>
      <c r="Q128" s="302" t="str">
        <f t="shared" si="1"/>
        <v/>
      </c>
      <c r="R128" s="42"/>
      <c r="S128" s="42"/>
      <c r="T128" s="44"/>
      <c r="U128" s="114"/>
      <c r="V128" s="101"/>
      <c r="W128" s="298"/>
      <c r="X128" s="42"/>
      <c r="Y128" s="42"/>
      <c r="Z128" s="42"/>
      <c r="AA128" s="299"/>
      <c r="AB128" s="300"/>
      <c r="AC128" s="42"/>
      <c r="AD128" s="299"/>
      <c r="AE128" s="301" t="str">
        <f t="array" ref="AE128">IF(W128="","", INDEX(Other!G:G, MATCH(W128, Other!B:B,0)))</f>
        <v/>
      </c>
      <c r="AF128" s="42"/>
      <c r="AG128" s="299"/>
      <c r="AH128" s="301" t="str">
        <f t="array" ref="AH128">IF(W128="","", INDEX(Other!H:H, MATCH(W128, Other!B:B,0)))</f>
        <v/>
      </c>
      <c r="AI128" s="42"/>
      <c r="AJ128" s="42"/>
      <c r="AK128" s="299"/>
      <c r="AL128" s="301" t="str">
        <f t="shared" si="2"/>
        <v/>
      </c>
      <c r="AM128" s="42"/>
      <c r="AN128" s="42"/>
      <c r="AO128" s="44"/>
      <c r="AP128" s="114"/>
      <c r="AQ128" s="83"/>
      <c r="AR128" s="83"/>
      <c r="AS128" s="83"/>
      <c r="AT128" s="83"/>
      <c r="AU128" s="83"/>
      <c r="AV128" s="83"/>
      <c r="AW128" s="83"/>
      <c r="AX128" s="83"/>
      <c r="AY128" s="83"/>
      <c r="AZ128" s="83"/>
      <c r="BA128" s="83"/>
      <c r="BB128" s="83"/>
    </row>
    <row r="129">
      <c r="A129" s="101"/>
      <c r="B129" s="298"/>
      <c r="C129" s="42"/>
      <c r="D129" s="42"/>
      <c r="E129" s="42"/>
      <c r="F129" s="299"/>
      <c r="G129" s="300"/>
      <c r="H129" s="42"/>
      <c r="I129" s="299"/>
      <c r="J129" s="301" t="str">
        <f t="array" ref="J129">IF(B129="","", INDEX(Ingredients!G:G, MATCH(B129, Ingredients!B:B,0)))</f>
        <v/>
      </c>
      <c r="K129" s="42"/>
      <c r="L129" s="299"/>
      <c r="M129" s="301" t="str">
        <f t="array" ref="M129">IF(B129="","", INDEX(Ingredients!H:H, MATCH(B129, Ingredients!B:B,0)))</f>
        <v/>
      </c>
      <c r="N129" s="42"/>
      <c r="O129" s="42"/>
      <c r="P129" s="299"/>
      <c r="Q129" s="302" t="str">
        <f t="shared" si="1"/>
        <v/>
      </c>
      <c r="R129" s="42"/>
      <c r="S129" s="42"/>
      <c r="T129" s="44"/>
      <c r="U129" s="114"/>
      <c r="V129" s="101"/>
      <c r="W129" s="298"/>
      <c r="X129" s="42"/>
      <c r="Y129" s="42"/>
      <c r="Z129" s="42"/>
      <c r="AA129" s="299"/>
      <c r="AB129" s="300"/>
      <c r="AC129" s="42"/>
      <c r="AD129" s="299"/>
      <c r="AE129" s="301" t="str">
        <f t="array" ref="AE129">IF(W129="","", INDEX(Other!G:G, MATCH(W129, Other!B:B,0)))</f>
        <v/>
      </c>
      <c r="AF129" s="42"/>
      <c r="AG129" s="299"/>
      <c r="AH129" s="301" t="str">
        <f t="array" ref="AH129">IF(W129="","", INDEX(Other!H:H, MATCH(W129, Other!B:B,0)))</f>
        <v/>
      </c>
      <c r="AI129" s="42"/>
      <c r="AJ129" s="42"/>
      <c r="AK129" s="299"/>
      <c r="AL129" s="301" t="str">
        <f t="shared" si="2"/>
        <v/>
      </c>
      <c r="AM129" s="42"/>
      <c r="AN129" s="42"/>
      <c r="AO129" s="44"/>
      <c r="AP129" s="114"/>
      <c r="AQ129" s="83"/>
      <c r="AR129" s="83"/>
      <c r="AS129" s="83"/>
      <c r="AT129" s="83"/>
      <c r="AU129" s="83"/>
      <c r="AV129" s="83"/>
      <c r="AW129" s="83"/>
      <c r="AX129" s="83"/>
      <c r="AY129" s="83"/>
      <c r="AZ129" s="83"/>
      <c r="BA129" s="83"/>
      <c r="BB129" s="83"/>
    </row>
    <row r="130">
      <c r="A130" s="101"/>
      <c r="B130" s="298"/>
      <c r="C130" s="42"/>
      <c r="D130" s="42"/>
      <c r="E130" s="42"/>
      <c r="F130" s="299"/>
      <c r="G130" s="300"/>
      <c r="H130" s="42"/>
      <c r="I130" s="299"/>
      <c r="J130" s="301" t="str">
        <f t="array" ref="J130">IF(B130="","", INDEX(Ingredients!G:G, MATCH(B130, Ingredients!B:B,0)))</f>
        <v/>
      </c>
      <c r="K130" s="42"/>
      <c r="L130" s="299"/>
      <c r="M130" s="301" t="str">
        <f t="array" ref="M130">IF(B130="","", INDEX(Ingredients!H:H, MATCH(B130, Ingredients!B:B,0)))</f>
        <v/>
      </c>
      <c r="N130" s="42"/>
      <c r="O130" s="42"/>
      <c r="P130" s="299"/>
      <c r="Q130" s="302" t="str">
        <f t="shared" si="1"/>
        <v/>
      </c>
      <c r="R130" s="42"/>
      <c r="S130" s="42"/>
      <c r="T130" s="44"/>
      <c r="U130" s="114"/>
      <c r="V130" s="101"/>
      <c r="W130" s="298"/>
      <c r="X130" s="42"/>
      <c r="Y130" s="42"/>
      <c r="Z130" s="42"/>
      <c r="AA130" s="299"/>
      <c r="AB130" s="300"/>
      <c r="AC130" s="42"/>
      <c r="AD130" s="299"/>
      <c r="AE130" s="301" t="str">
        <f t="array" ref="AE130">IF(W130="","", INDEX(Other!G:G, MATCH(W130, Other!B:B,0)))</f>
        <v/>
      </c>
      <c r="AF130" s="42"/>
      <c r="AG130" s="299"/>
      <c r="AH130" s="301" t="str">
        <f t="array" ref="AH130">IF(W130="","", INDEX(Other!H:H, MATCH(W130, Other!B:B,0)))</f>
        <v/>
      </c>
      <c r="AI130" s="42"/>
      <c r="AJ130" s="42"/>
      <c r="AK130" s="299"/>
      <c r="AL130" s="301" t="str">
        <f t="shared" si="2"/>
        <v/>
      </c>
      <c r="AM130" s="42"/>
      <c r="AN130" s="42"/>
      <c r="AO130" s="44"/>
      <c r="AP130" s="114"/>
      <c r="AQ130" s="83"/>
      <c r="AR130" s="83"/>
      <c r="AS130" s="83"/>
      <c r="AT130" s="83"/>
      <c r="AU130" s="83"/>
      <c r="AV130" s="83"/>
      <c r="AW130" s="83"/>
      <c r="AX130" s="83"/>
      <c r="AY130" s="83"/>
      <c r="AZ130" s="83"/>
      <c r="BA130" s="83"/>
      <c r="BB130" s="83"/>
    </row>
    <row r="131">
      <c r="A131" s="101"/>
      <c r="B131" s="298"/>
      <c r="C131" s="42"/>
      <c r="D131" s="42"/>
      <c r="E131" s="42"/>
      <c r="F131" s="299"/>
      <c r="G131" s="300"/>
      <c r="H131" s="42"/>
      <c r="I131" s="299"/>
      <c r="J131" s="301" t="str">
        <f t="array" ref="J131">IF(B131="","", INDEX(Ingredients!G:G, MATCH(B131, Ingredients!B:B,0)))</f>
        <v/>
      </c>
      <c r="K131" s="42"/>
      <c r="L131" s="299"/>
      <c r="M131" s="301" t="str">
        <f t="array" ref="M131">IF(B131="","", INDEX(Ingredients!H:H, MATCH(B131, Ingredients!B:B,0)))</f>
        <v/>
      </c>
      <c r="N131" s="42"/>
      <c r="O131" s="42"/>
      <c r="P131" s="299"/>
      <c r="Q131" s="302" t="str">
        <f t="shared" si="1"/>
        <v/>
      </c>
      <c r="R131" s="42"/>
      <c r="S131" s="42"/>
      <c r="T131" s="44"/>
      <c r="U131" s="114"/>
      <c r="V131" s="101"/>
      <c r="W131" s="298"/>
      <c r="X131" s="42"/>
      <c r="Y131" s="42"/>
      <c r="Z131" s="42"/>
      <c r="AA131" s="299"/>
      <c r="AB131" s="300"/>
      <c r="AC131" s="42"/>
      <c r="AD131" s="299"/>
      <c r="AE131" s="301" t="str">
        <f t="array" ref="AE131">IF(W131="","", INDEX(Other!G:G, MATCH(W131, Other!B:B,0)))</f>
        <v/>
      </c>
      <c r="AF131" s="42"/>
      <c r="AG131" s="299"/>
      <c r="AH131" s="301" t="str">
        <f t="array" ref="AH131">IF(W131="","", INDEX(Other!H:H, MATCH(W131, Other!B:B,0)))</f>
        <v/>
      </c>
      <c r="AI131" s="42"/>
      <c r="AJ131" s="42"/>
      <c r="AK131" s="299"/>
      <c r="AL131" s="301" t="str">
        <f t="shared" si="2"/>
        <v/>
      </c>
      <c r="AM131" s="42"/>
      <c r="AN131" s="42"/>
      <c r="AO131" s="44"/>
      <c r="AP131" s="114"/>
      <c r="AQ131" s="83"/>
      <c r="AR131" s="83"/>
      <c r="AS131" s="83"/>
      <c r="AT131" s="83"/>
      <c r="AU131" s="83"/>
      <c r="AV131" s="83"/>
      <c r="AW131" s="83"/>
      <c r="AX131" s="83"/>
      <c r="AY131" s="83"/>
      <c r="AZ131" s="83"/>
      <c r="BA131" s="83"/>
      <c r="BB131" s="83"/>
    </row>
    <row r="132">
      <c r="A132" s="101"/>
      <c r="B132" s="298"/>
      <c r="C132" s="42"/>
      <c r="D132" s="42"/>
      <c r="E132" s="42"/>
      <c r="F132" s="299"/>
      <c r="G132" s="300"/>
      <c r="H132" s="42"/>
      <c r="I132" s="299"/>
      <c r="J132" s="301" t="str">
        <f t="array" ref="J132">IF(B132="","", INDEX(Ingredients!G:G, MATCH(B132, Ingredients!B:B,0)))</f>
        <v/>
      </c>
      <c r="K132" s="42"/>
      <c r="L132" s="299"/>
      <c r="M132" s="301" t="str">
        <f t="array" ref="M132">IF(B132="","", INDEX(Ingredients!H:H, MATCH(B132, Ingredients!B:B,0)))</f>
        <v/>
      </c>
      <c r="N132" s="42"/>
      <c r="O132" s="42"/>
      <c r="P132" s="299"/>
      <c r="Q132" s="302" t="str">
        <f t="shared" si="1"/>
        <v/>
      </c>
      <c r="R132" s="42"/>
      <c r="S132" s="42"/>
      <c r="T132" s="44"/>
      <c r="U132" s="114"/>
      <c r="V132" s="101"/>
      <c r="W132" s="298"/>
      <c r="X132" s="42"/>
      <c r="Y132" s="42"/>
      <c r="Z132" s="42"/>
      <c r="AA132" s="299"/>
      <c r="AB132" s="300"/>
      <c r="AC132" s="42"/>
      <c r="AD132" s="299"/>
      <c r="AE132" s="301" t="str">
        <f t="array" ref="AE132">IF(W132="","", INDEX(Other!G:G, MATCH(W132, Other!B:B,0)))</f>
        <v/>
      </c>
      <c r="AF132" s="42"/>
      <c r="AG132" s="299"/>
      <c r="AH132" s="301" t="str">
        <f t="array" ref="AH132">IF(W132="","", INDEX(Other!H:H, MATCH(W132, Other!B:B,0)))</f>
        <v/>
      </c>
      <c r="AI132" s="42"/>
      <c r="AJ132" s="42"/>
      <c r="AK132" s="299"/>
      <c r="AL132" s="301" t="str">
        <f t="shared" si="2"/>
        <v/>
      </c>
      <c r="AM132" s="42"/>
      <c r="AN132" s="42"/>
      <c r="AO132" s="44"/>
      <c r="AP132" s="114"/>
      <c r="AQ132" s="83"/>
      <c r="AR132" s="83"/>
      <c r="AS132" s="83"/>
      <c r="AT132" s="83"/>
      <c r="AU132" s="83"/>
      <c r="AV132" s="83"/>
      <c r="AW132" s="83"/>
      <c r="AX132" s="83"/>
      <c r="AY132" s="83"/>
      <c r="AZ132" s="83"/>
      <c r="BA132" s="83"/>
      <c r="BB132" s="83"/>
    </row>
    <row r="133">
      <c r="A133" s="101"/>
      <c r="B133" s="298"/>
      <c r="C133" s="42"/>
      <c r="D133" s="42"/>
      <c r="E133" s="42"/>
      <c r="F133" s="299"/>
      <c r="G133" s="300"/>
      <c r="H133" s="42"/>
      <c r="I133" s="299"/>
      <c r="J133" s="301" t="str">
        <f t="array" ref="J133">IF(B133="","", INDEX(Ingredients!G:G, MATCH(B133, Ingredients!B:B,0)))</f>
        <v/>
      </c>
      <c r="K133" s="42"/>
      <c r="L133" s="299"/>
      <c r="M133" s="301" t="str">
        <f t="array" ref="M133">IF(B133="","", INDEX(Ingredients!H:H, MATCH(B133, Ingredients!B:B,0)))</f>
        <v/>
      </c>
      <c r="N133" s="42"/>
      <c r="O133" s="42"/>
      <c r="P133" s="299"/>
      <c r="Q133" s="302" t="str">
        <f t="shared" si="1"/>
        <v/>
      </c>
      <c r="R133" s="42"/>
      <c r="S133" s="42"/>
      <c r="T133" s="44"/>
      <c r="U133" s="114"/>
      <c r="V133" s="101"/>
      <c r="W133" s="298"/>
      <c r="X133" s="42"/>
      <c r="Y133" s="42"/>
      <c r="Z133" s="42"/>
      <c r="AA133" s="299"/>
      <c r="AB133" s="300"/>
      <c r="AC133" s="42"/>
      <c r="AD133" s="299"/>
      <c r="AE133" s="301" t="str">
        <f t="array" ref="AE133">IF(W133="","", INDEX(Other!G:G, MATCH(W133, Other!B:B,0)))</f>
        <v/>
      </c>
      <c r="AF133" s="42"/>
      <c r="AG133" s="299"/>
      <c r="AH133" s="301" t="str">
        <f t="array" ref="AH133">IF(W133="","", INDEX(Other!H:H, MATCH(W133, Other!B:B,0)))</f>
        <v/>
      </c>
      <c r="AI133" s="42"/>
      <c r="AJ133" s="42"/>
      <c r="AK133" s="299"/>
      <c r="AL133" s="301" t="str">
        <f t="shared" si="2"/>
        <v/>
      </c>
      <c r="AM133" s="42"/>
      <c r="AN133" s="42"/>
      <c r="AO133" s="44"/>
      <c r="AP133" s="114"/>
      <c r="AQ133" s="83"/>
      <c r="AR133" s="83"/>
      <c r="AS133" s="83"/>
      <c r="AT133" s="83"/>
      <c r="AU133" s="83"/>
      <c r="AV133" s="83"/>
      <c r="AW133" s="83"/>
      <c r="AX133" s="83"/>
      <c r="AY133" s="83"/>
      <c r="AZ133" s="83"/>
      <c r="BA133" s="83"/>
      <c r="BB133" s="83"/>
    </row>
    <row r="134">
      <c r="A134" s="101"/>
      <c r="B134" s="298"/>
      <c r="C134" s="42"/>
      <c r="D134" s="42"/>
      <c r="E134" s="42"/>
      <c r="F134" s="299"/>
      <c r="G134" s="300"/>
      <c r="H134" s="42"/>
      <c r="I134" s="299"/>
      <c r="J134" s="301" t="str">
        <f t="array" ref="J134">IF(B134="","", INDEX(Ingredients!G:G, MATCH(B134, Ingredients!B:B,0)))</f>
        <v/>
      </c>
      <c r="K134" s="42"/>
      <c r="L134" s="299"/>
      <c r="M134" s="301" t="str">
        <f t="array" ref="M134">IF(B134="","", INDEX(Ingredients!H:H, MATCH(B134, Ingredients!B:B,0)))</f>
        <v/>
      </c>
      <c r="N134" s="42"/>
      <c r="O134" s="42"/>
      <c r="P134" s="299"/>
      <c r="Q134" s="302" t="str">
        <f t="shared" si="1"/>
        <v/>
      </c>
      <c r="R134" s="42"/>
      <c r="S134" s="42"/>
      <c r="T134" s="44"/>
      <c r="U134" s="114"/>
      <c r="V134" s="101"/>
      <c r="W134" s="298"/>
      <c r="X134" s="42"/>
      <c r="Y134" s="42"/>
      <c r="Z134" s="42"/>
      <c r="AA134" s="299"/>
      <c r="AB134" s="300"/>
      <c r="AC134" s="42"/>
      <c r="AD134" s="299"/>
      <c r="AE134" s="301" t="str">
        <f t="array" ref="AE134">IF(W134="","", INDEX(Other!G:G, MATCH(W134, Other!B:B,0)))</f>
        <v/>
      </c>
      <c r="AF134" s="42"/>
      <c r="AG134" s="299"/>
      <c r="AH134" s="301" t="str">
        <f t="array" ref="AH134">IF(W134="","", INDEX(Other!H:H, MATCH(W134, Other!B:B,0)))</f>
        <v/>
      </c>
      <c r="AI134" s="42"/>
      <c r="AJ134" s="42"/>
      <c r="AK134" s="299"/>
      <c r="AL134" s="301" t="str">
        <f t="shared" si="2"/>
        <v/>
      </c>
      <c r="AM134" s="42"/>
      <c r="AN134" s="42"/>
      <c r="AO134" s="44"/>
      <c r="AP134" s="114"/>
      <c r="AQ134" s="83"/>
      <c r="AR134" s="83"/>
      <c r="AS134" s="83"/>
      <c r="AT134" s="83"/>
      <c r="AU134" s="83"/>
      <c r="AV134" s="83"/>
      <c r="AW134" s="83"/>
      <c r="AX134" s="83"/>
      <c r="AY134" s="83"/>
      <c r="AZ134" s="83"/>
      <c r="BA134" s="83"/>
      <c r="BB134" s="83"/>
    </row>
    <row r="135">
      <c r="A135" s="101"/>
      <c r="B135" s="298"/>
      <c r="C135" s="42"/>
      <c r="D135" s="42"/>
      <c r="E135" s="42"/>
      <c r="F135" s="299"/>
      <c r="G135" s="300"/>
      <c r="H135" s="42"/>
      <c r="I135" s="299"/>
      <c r="J135" s="301" t="str">
        <f t="array" ref="J135">IF(B135="","", INDEX(Ingredients!G:G, MATCH(B135, Ingredients!B:B,0)))</f>
        <v/>
      </c>
      <c r="K135" s="42"/>
      <c r="L135" s="299"/>
      <c r="M135" s="301" t="str">
        <f t="array" ref="M135">IF(B135="","", INDEX(Ingredients!H:H, MATCH(B135, Ingredients!B:B,0)))</f>
        <v/>
      </c>
      <c r="N135" s="42"/>
      <c r="O135" s="42"/>
      <c r="P135" s="299"/>
      <c r="Q135" s="302" t="str">
        <f t="shared" si="1"/>
        <v/>
      </c>
      <c r="R135" s="42"/>
      <c r="S135" s="42"/>
      <c r="T135" s="44"/>
      <c r="U135" s="114"/>
      <c r="V135" s="101"/>
      <c r="W135" s="298"/>
      <c r="X135" s="42"/>
      <c r="Y135" s="42"/>
      <c r="Z135" s="42"/>
      <c r="AA135" s="299"/>
      <c r="AB135" s="300"/>
      <c r="AC135" s="42"/>
      <c r="AD135" s="299"/>
      <c r="AE135" s="301" t="str">
        <f t="array" ref="AE135">IF(W135="","", INDEX(Other!G:G, MATCH(W135, Other!B:B,0)))</f>
        <v/>
      </c>
      <c r="AF135" s="42"/>
      <c r="AG135" s="299"/>
      <c r="AH135" s="301" t="str">
        <f t="array" ref="AH135">IF(W135="","", INDEX(Other!H:H, MATCH(W135, Other!B:B,0)))</f>
        <v/>
      </c>
      <c r="AI135" s="42"/>
      <c r="AJ135" s="42"/>
      <c r="AK135" s="299"/>
      <c r="AL135" s="301" t="str">
        <f t="shared" si="2"/>
        <v/>
      </c>
      <c r="AM135" s="42"/>
      <c r="AN135" s="42"/>
      <c r="AO135" s="44"/>
      <c r="AP135" s="114"/>
      <c r="AQ135" s="83"/>
      <c r="AR135" s="83"/>
      <c r="AS135" s="83"/>
      <c r="AT135" s="83"/>
      <c r="AU135" s="83"/>
      <c r="AV135" s="83"/>
      <c r="AW135" s="83"/>
      <c r="AX135" s="83"/>
      <c r="AY135" s="83"/>
      <c r="AZ135" s="83"/>
      <c r="BA135" s="83"/>
      <c r="BB135" s="83"/>
    </row>
    <row r="136">
      <c r="A136" s="101"/>
      <c r="B136" s="298"/>
      <c r="C136" s="42"/>
      <c r="D136" s="42"/>
      <c r="E136" s="42"/>
      <c r="F136" s="299"/>
      <c r="G136" s="300"/>
      <c r="H136" s="42"/>
      <c r="I136" s="299"/>
      <c r="J136" s="301" t="str">
        <f t="array" ref="J136">IF(B136="","", INDEX(Ingredients!G:G, MATCH(B136, Ingredients!B:B,0)))</f>
        <v/>
      </c>
      <c r="K136" s="42"/>
      <c r="L136" s="299"/>
      <c r="M136" s="301" t="str">
        <f t="array" ref="M136">IF(B136="","", INDEX(Ingredients!H:H, MATCH(B136, Ingredients!B:B,0)))</f>
        <v/>
      </c>
      <c r="N136" s="42"/>
      <c r="O136" s="42"/>
      <c r="P136" s="299"/>
      <c r="Q136" s="302" t="str">
        <f t="shared" si="1"/>
        <v/>
      </c>
      <c r="R136" s="42"/>
      <c r="S136" s="42"/>
      <c r="T136" s="44"/>
      <c r="U136" s="114"/>
      <c r="V136" s="101"/>
      <c r="W136" s="298"/>
      <c r="X136" s="42"/>
      <c r="Y136" s="42"/>
      <c r="Z136" s="42"/>
      <c r="AA136" s="299"/>
      <c r="AB136" s="300"/>
      <c r="AC136" s="42"/>
      <c r="AD136" s="299"/>
      <c r="AE136" s="301" t="str">
        <f t="array" ref="AE136">IF(W136="","", INDEX(Other!G:G, MATCH(W136, Other!B:B,0)))</f>
        <v/>
      </c>
      <c r="AF136" s="42"/>
      <c r="AG136" s="299"/>
      <c r="AH136" s="301" t="str">
        <f t="array" ref="AH136">IF(W136="","", INDEX(Other!H:H, MATCH(W136, Other!B:B,0)))</f>
        <v/>
      </c>
      <c r="AI136" s="42"/>
      <c r="AJ136" s="42"/>
      <c r="AK136" s="299"/>
      <c r="AL136" s="301" t="str">
        <f t="shared" si="2"/>
        <v/>
      </c>
      <c r="AM136" s="42"/>
      <c r="AN136" s="42"/>
      <c r="AO136" s="44"/>
      <c r="AP136" s="114"/>
      <c r="AQ136" s="83"/>
      <c r="AR136" s="83"/>
      <c r="AS136" s="83"/>
      <c r="AT136" s="83"/>
      <c r="AU136" s="83"/>
      <c r="AV136" s="83"/>
      <c r="AW136" s="83"/>
      <c r="AX136" s="83"/>
      <c r="AY136" s="83"/>
      <c r="AZ136" s="83"/>
      <c r="BA136" s="83"/>
      <c r="BB136" s="83"/>
    </row>
    <row r="137">
      <c r="A137" s="101"/>
      <c r="B137" s="298"/>
      <c r="C137" s="42"/>
      <c r="D137" s="42"/>
      <c r="E137" s="42"/>
      <c r="F137" s="299"/>
      <c r="G137" s="300"/>
      <c r="H137" s="42"/>
      <c r="I137" s="299"/>
      <c r="J137" s="301" t="str">
        <f t="array" ref="J137">IF(B137="","", INDEX(Ingredients!G:G, MATCH(B137, Ingredients!B:B,0)))</f>
        <v/>
      </c>
      <c r="K137" s="42"/>
      <c r="L137" s="299"/>
      <c r="M137" s="301" t="str">
        <f t="array" ref="M137">IF(B137="","", INDEX(Ingredients!H:H, MATCH(B137, Ingredients!B:B,0)))</f>
        <v/>
      </c>
      <c r="N137" s="42"/>
      <c r="O137" s="42"/>
      <c r="P137" s="299"/>
      <c r="Q137" s="302" t="str">
        <f t="shared" si="1"/>
        <v/>
      </c>
      <c r="R137" s="42"/>
      <c r="S137" s="42"/>
      <c r="T137" s="44"/>
      <c r="U137" s="114"/>
      <c r="V137" s="101"/>
      <c r="W137" s="298"/>
      <c r="X137" s="42"/>
      <c r="Y137" s="42"/>
      <c r="Z137" s="42"/>
      <c r="AA137" s="299"/>
      <c r="AB137" s="300"/>
      <c r="AC137" s="42"/>
      <c r="AD137" s="299"/>
      <c r="AE137" s="301" t="str">
        <f t="array" ref="AE137">IF(W137="","", INDEX(Other!G:G, MATCH(W137, Other!B:B,0)))</f>
        <v/>
      </c>
      <c r="AF137" s="42"/>
      <c r="AG137" s="299"/>
      <c r="AH137" s="301" t="str">
        <f t="array" ref="AH137">IF(W137="","", INDEX(Other!H:H, MATCH(W137, Other!B:B,0)))</f>
        <v/>
      </c>
      <c r="AI137" s="42"/>
      <c r="AJ137" s="42"/>
      <c r="AK137" s="299"/>
      <c r="AL137" s="301" t="str">
        <f t="shared" si="2"/>
        <v/>
      </c>
      <c r="AM137" s="42"/>
      <c r="AN137" s="42"/>
      <c r="AO137" s="44"/>
      <c r="AP137" s="114"/>
      <c r="AQ137" s="83"/>
      <c r="AR137" s="83"/>
      <c r="AS137" s="83"/>
      <c r="AT137" s="83"/>
      <c r="AU137" s="83"/>
      <c r="AV137" s="83"/>
      <c r="AW137" s="83"/>
      <c r="AX137" s="83"/>
      <c r="AY137" s="83"/>
      <c r="AZ137" s="83"/>
      <c r="BA137" s="83"/>
      <c r="BB137" s="83"/>
    </row>
    <row r="138">
      <c r="A138" s="101"/>
      <c r="B138" s="298"/>
      <c r="C138" s="42"/>
      <c r="D138" s="42"/>
      <c r="E138" s="42"/>
      <c r="F138" s="299"/>
      <c r="G138" s="300"/>
      <c r="H138" s="42"/>
      <c r="I138" s="299"/>
      <c r="J138" s="301" t="str">
        <f t="array" ref="J138">IF(B138="","", INDEX(Ingredients!G:G, MATCH(B138, Ingredients!B:B,0)))</f>
        <v/>
      </c>
      <c r="K138" s="42"/>
      <c r="L138" s="299"/>
      <c r="M138" s="301" t="str">
        <f t="array" ref="M138">IF(B138="","", INDEX(Ingredients!H:H, MATCH(B138, Ingredients!B:B,0)))</f>
        <v/>
      </c>
      <c r="N138" s="42"/>
      <c r="O138" s="42"/>
      <c r="P138" s="299"/>
      <c r="Q138" s="302" t="str">
        <f t="shared" si="1"/>
        <v/>
      </c>
      <c r="R138" s="42"/>
      <c r="S138" s="42"/>
      <c r="T138" s="44"/>
      <c r="U138" s="114"/>
      <c r="V138" s="101"/>
      <c r="W138" s="298"/>
      <c r="X138" s="42"/>
      <c r="Y138" s="42"/>
      <c r="Z138" s="42"/>
      <c r="AA138" s="299"/>
      <c r="AB138" s="300"/>
      <c r="AC138" s="42"/>
      <c r="AD138" s="299"/>
      <c r="AE138" s="301" t="str">
        <f t="array" ref="AE138">IF(W138="","", INDEX(Other!G:G, MATCH(W138, Other!B:B,0)))</f>
        <v/>
      </c>
      <c r="AF138" s="42"/>
      <c r="AG138" s="299"/>
      <c r="AH138" s="301" t="str">
        <f t="array" ref="AH138">IF(W138="","", INDEX(Other!H:H, MATCH(W138, Other!B:B,0)))</f>
        <v/>
      </c>
      <c r="AI138" s="42"/>
      <c r="AJ138" s="42"/>
      <c r="AK138" s="299"/>
      <c r="AL138" s="301" t="str">
        <f t="shared" si="2"/>
        <v/>
      </c>
      <c r="AM138" s="42"/>
      <c r="AN138" s="42"/>
      <c r="AO138" s="44"/>
      <c r="AP138" s="114"/>
      <c r="AQ138" s="83"/>
      <c r="AR138" s="83"/>
      <c r="AS138" s="83"/>
      <c r="AT138" s="83"/>
      <c r="AU138" s="83"/>
      <c r="AV138" s="83"/>
      <c r="AW138" s="83"/>
      <c r="AX138" s="83"/>
      <c r="AY138" s="83"/>
      <c r="AZ138" s="83"/>
      <c r="BA138" s="83"/>
      <c r="BB138" s="83"/>
    </row>
    <row r="139">
      <c r="A139" s="101"/>
      <c r="B139" s="298"/>
      <c r="C139" s="42"/>
      <c r="D139" s="42"/>
      <c r="E139" s="42"/>
      <c r="F139" s="299"/>
      <c r="G139" s="300"/>
      <c r="H139" s="42"/>
      <c r="I139" s="299"/>
      <c r="J139" s="301" t="str">
        <f t="array" ref="J139">IF(B139="","", INDEX(Ingredients!G:G, MATCH(B139, Ingredients!B:B,0)))</f>
        <v/>
      </c>
      <c r="K139" s="42"/>
      <c r="L139" s="299"/>
      <c r="M139" s="301" t="str">
        <f t="array" ref="M139">IF(B139="","", INDEX(Ingredients!H:H, MATCH(B139, Ingredients!B:B,0)))</f>
        <v/>
      </c>
      <c r="N139" s="42"/>
      <c r="O139" s="42"/>
      <c r="P139" s="299"/>
      <c r="Q139" s="302" t="str">
        <f t="shared" si="1"/>
        <v/>
      </c>
      <c r="R139" s="42"/>
      <c r="S139" s="42"/>
      <c r="T139" s="44"/>
      <c r="U139" s="114"/>
      <c r="V139" s="101"/>
      <c r="W139" s="298"/>
      <c r="X139" s="42"/>
      <c r="Y139" s="42"/>
      <c r="Z139" s="42"/>
      <c r="AA139" s="299"/>
      <c r="AB139" s="300"/>
      <c r="AC139" s="42"/>
      <c r="AD139" s="299"/>
      <c r="AE139" s="301" t="str">
        <f t="array" ref="AE139">IF(W139="","", INDEX(Other!G:G, MATCH(W139, Other!B:B,0)))</f>
        <v/>
      </c>
      <c r="AF139" s="42"/>
      <c r="AG139" s="299"/>
      <c r="AH139" s="301" t="str">
        <f t="array" ref="AH139">IF(W139="","", INDEX(Other!H:H, MATCH(W139, Other!B:B,0)))</f>
        <v/>
      </c>
      <c r="AI139" s="42"/>
      <c r="AJ139" s="42"/>
      <c r="AK139" s="299"/>
      <c r="AL139" s="301" t="str">
        <f t="shared" si="2"/>
        <v/>
      </c>
      <c r="AM139" s="42"/>
      <c r="AN139" s="42"/>
      <c r="AO139" s="44"/>
      <c r="AP139" s="114"/>
      <c r="AQ139" s="83"/>
      <c r="AR139" s="83"/>
      <c r="AS139" s="83"/>
      <c r="AT139" s="83"/>
      <c r="AU139" s="83"/>
      <c r="AV139" s="83"/>
      <c r="AW139" s="83"/>
      <c r="AX139" s="83"/>
      <c r="AY139" s="83"/>
      <c r="AZ139" s="83"/>
      <c r="BA139" s="83"/>
      <c r="BB139" s="83"/>
    </row>
    <row r="140">
      <c r="A140" s="101"/>
      <c r="B140" s="298"/>
      <c r="C140" s="42"/>
      <c r="D140" s="42"/>
      <c r="E140" s="42"/>
      <c r="F140" s="299"/>
      <c r="G140" s="300"/>
      <c r="H140" s="42"/>
      <c r="I140" s="299"/>
      <c r="J140" s="301" t="str">
        <f t="array" ref="J140">IF(B140="","", INDEX(Ingredients!G:G, MATCH(B140, Ingredients!B:B,0)))</f>
        <v/>
      </c>
      <c r="K140" s="42"/>
      <c r="L140" s="299"/>
      <c r="M140" s="301" t="str">
        <f t="array" ref="M140">IF(B140="","", INDEX(Ingredients!H:H, MATCH(B140, Ingredients!B:B,0)))</f>
        <v/>
      </c>
      <c r="N140" s="42"/>
      <c r="O140" s="42"/>
      <c r="P140" s="299"/>
      <c r="Q140" s="302" t="str">
        <f t="shared" si="1"/>
        <v/>
      </c>
      <c r="R140" s="42"/>
      <c r="S140" s="42"/>
      <c r="T140" s="44"/>
      <c r="U140" s="114"/>
      <c r="V140" s="101"/>
      <c r="W140" s="298"/>
      <c r="X140" s="42"/>
      <c r="Y140" s="42"/>
      <c r="Z140" s="42"/>
      <c r="AA140" s="299"/>
      <c r="AB140" s="300"/>
      <c r="AC140" s="42"/>
      <c r="AD140" s="299"/>
      <c r="AE140" s="301" t="str">
        <f t="array" ref="AE140">IF(W140="","", INDEX(Other!G:G, MATCH(W140, Other!B:B,0)))</f>
        <v/>
      </c>
      <c r="AF140" s="42"/>
      <c r="AG140" s="299"/>
      <c r="AH140" s="301" t="str">
        <f t="array" ref="AH140">IF(W140="","", INDEX(Other!H:H, MATCH(W140, Other!B:B,0)))</f>
        <v/>
      </c>
      <c r="AI140" s="42"/>
      <c r="AJ140" s="42"/>
      <c r="AK140" s="299"/>
      <c r="AL140" s="301" t="str">
        <f t="shared" si="2"/>
        <v/>
      </c>
      <c r="AM140" s="42"/>
      <c r="AN140" s="42"/>
      <c r="AO140" s="44"/>
      <c r="AP140" s="114"/>
      <c r="AQ140" s="83"/>
      <c r="AR140" s="83"/>
      <c r="AS140" s="83"/>
      <c r="AT140" s="83"/>
      <c r="AU140" s="83"/>
      <c r="AV140" s="83"/>
      <c r="AW140" s="83"/>
      <c r="AX140" s="83"/>
      <c r="AY140" s="83"/>
      <c r="AZ140" s="83"/>
      <c r="BA140" s="83"/>
      <c r="BB140" s="83"/>
    </row>
    <row r="141">
      <c r="A141" s="101"/>
      <c r="B141" s="298"/>
      <c r="C141" s="42"/>
      <c r="D141" s="42"/>
      <c r="E141" s="42"/>
      <c r="F141" s="299"/>
      <c r="G141" s="300"/>
      <c r="H141" s="42"/>
      <c r="I141" s="299"/>
      <c r="J141" s="301" t="str">
        <f t="array" ref="J141">IF(B141="","", INDEX(Ingredients!G:G, MATCH(B141, Ingredients!B:B,0)))</f>
        <v/>
      </c>
      <c r="K141" s="42"/>
      <c r="L141" s="299"/>
      <c r="M141" s="301" t="str">
        <f t="array" ref="M141">IF(B141="","", INDEX(Ingredients!H:H, MATCH(B141, Ingredients!B:B,0)))</f>
        <v/>
      </c>
      <c r="N141" s="42"/>
      <c r="O141" s="42"/>
      <c r="P141" s="299"/>
      <c r="Q141" s="302" t="str">
        <f t="shared" si="1"/>
        <v/>
      </c>
      <c r="R141" s="42"/>
      <c r="S141" s="42"/>
      <c r="T141" s="44"/>
      <c r="U141" s="114"/>
      <c r="V141" s="101"/>
      <c r="W141" s="298"/>
      <c r="X141" s="42"/>
      <c r="Y141" s="42"/>
      <c r="Z141" s="42"/>
      <c r="AA141" s="299"/>
      <c r="AB141" s="300"/>
      <c r="AC141" s="42"/>
      <c r="AD141" s="299"/>
      <c r="AE141" s="301" t="str">
        <f t="array" ref="AE141">IF(W141="","", INDEX(Other!G:G, MATCH(W141, Other!B:B,0)))</f>
        <v/>
      </c>
      <c r="AF141" s="42"/>
      <c r="AG141" s="299"/>
      <c r="AH141" s="301" t="str">
        <f t="array" ref="AH141">IF(W141="","", INDEX(Other!H:H, MATCH(W141, Other!B:B,0)))</f>
        <v/>
      </c>
      <c r="AI141" s="42"/>
      <c r="AJ141" s="42"/>
      <c r="AK141" s="299"/>
      <c r="AL141" s="301" t="str">
        <f t="shared" si="2"/>
        <v/>
      </c>
      <c r="AM141" s="42"/>
      <c r="AN141" s="42"/>
      <c r="AO141" s="44"/>
      <c r="AP141" s="114"/>
      <c r="AQ141" s="83"/>
      <c r="AR141" s="83"/>
      <c r="AS141" s="83"/>
      <c r="AT141" s="83"/>
      <c r="AU141" s="83"/>
      <c r="AV141" s="83"/>
      <c r="AW141" s="83"/>
      <c r="AX141" s="83"/>
      <c r="AY141" s="83"/>
      <c r="AZ141" s="83"/>
      <c r="BA141" s="83"/>
      <c r="BB141" s="83"/>
    </row>
    <row r="142">
      <c r="A142" s="101"/>
      <c r="B142" s="298"/>
      <c r="C142" s="42"/>
      <c r="D142" s="42"/>
      <c r="E142" s="42"/>
      <c r="F142" s="299"/>
      <c r="G142" s="300"/>
      <c r="H142" s="42"/>
      <c r="I142" s="299"/>
      <c r="J142" s="301" t="str">
        <f t="array" ref="J142">IF(B142="","", INDEX(Ingredients!G:G, MATCH(B142, Ingredients!B:B,0)))</f>
        <v/>
      </c>
      <c r="K142" s="42"/>
      <c r="L142" s="299"/>
      <c r="M142" s="301" t="str">
        <f t="array" ref="M142">IF(B142="","", INDEX(Ingredients!H:H, MATCH(B142, Ingredients!B:B,0)))</f>
        <v/>
      </c>
      <c r="N142" s="42"/>
      <c r="O142" s="42"/>
      <c r="P142" s="299"/>
      <c r="Q142" s="302" t="str">
        <f t="shared" si="1"/>
        <v/>
      </c>
      <c r="R142" s="42"/>
      <c r="S142" s="42"/>
      <c r="T142" s="44"/>
      <c r="U142" s="114"/>
      <c r="V142" s="101"/>
      <c r="W142" s="298"/>
      <c r="X142" s="42"/>
      <c r="Y142" s="42"/>
      <c r="Z142" s="42"/>
      <c r="AA142" s="299"/>
      <c r="AB142" s="300"/>
      <c r="AC142" s="42"/>
      <c r="AD142" s="299"/>
      <c r="AE142" s="301" t="str">
        <f t="array" ref="AE142">IF(W142="","", INDEX(Other!G:G, MATCH(W142, Other!B:B,0)))</f>
        <v/>
      </c>
      <c r="AF142" s="42"/>
      <c r="AG142" s="299"/>
      <c r="AH142" s="301" t="str">
        <f t="array" ref="AH142">IF(W142="","", INDEX(Other!H:H, MATCH(W142, Other!B:B,0)))</f>
        <v/>
      </c>
      <c r="AI142" s="42"/>
      <c r="AJ142" s="42"/>
      <c r="AK142" s="299"/>
      <c r="AL142" s="301" t="str">
        <f t="shared" si="2"/>
        <v/>
      </c>
      <c r="AM142" s="42"/>
      <c r="AN142" s="42"/>
      <c r="AO142" s="44"/>
      <c r="AP142" s="114"/>
      <c r="AQ142" s="83"/>
      <c r="AR142" s="83"/>
      <c r="AS142" s="83"/>
      <c r="AT142" s="83"/>
      <c r="AU142" s="83"/>
      <c r="AV142" s="83"/>
      <c r="AW142" s="83"/>
      <c r="AX142" s="83"/>
      <c r="AY142" s="83"/>
      <c r="AZ142" s="83"/>
      <c r="BA142" s="83"/>
      <c r="BB142" s="83"/>
    </row>
    <row r="143">
      <c r="A143" s="101"/>
      <c r="B143" s="298"/>
      <c r="C143" s="42"/>
      <c r="D143" s="42"/>
      <c r="E143" s="42"/>
      <c r="F143" s="299"/>
      <c r="G143" s="300"/>
      <c r="H143" s="42"/>
      <c r="I143" s="299"/>
      <c r="J143" s="301" t="str">
        <f t="array" ref="J143">IF(B143="","", INDEX(Ingredients!G:G, MATCH(B143, Ingredients!B:B,0)))</f>
        <v/>
      </c>
      <c r="K143" s="42"/>
      <c r="L143" s="299"/>
      <c r="M143" s="301" t="str">
        <f t="array" ref="M143">IF(B143="","", INDEX(Ingredients!H:H, MATCH(B143, Ingredients!B:B,0)))</f>
        <v/>
      </c>
      <c r="N143" s="42"/>
      <c r="O143" s="42"/>
      <c r="P143" s="299"/>
      <c r="Q143" s="302" t="str">
        <f t="shared" si="1"/>
        <v/>
      </c>
      <c r="R143" s="42"/>
      <c r="S143" s="42"/>
      <c r="T143" s="44"/>
      <c r="U143" s="114"/>
      <c r="V143" s="101"/>
      <c r="W143" s="298"/>
      <c r="X143" s="42"/>
      <c r="Y143" s="42"/>
      <c r="Z143" s="42"/>
      <c r="AA143" s="299"/>
      <c r="AB143" s="300"/>
      <c r="AC143" s="42"/>
      <c r="AD143" s="299"/>
      <c r="AE143" s="301" t="str">
        <f t="array" ref="AE143">IF(W143="","", INDEX(Other!G:G, MATCH(W143, Other!B:B,0)))</f>
        <v/>
      </c>
      <c r="AF143" s="42"/>
      <c r="AG143" s="299"/>
      <c r="AH143" s="301" t="str">
        <f t="array" ref="AH143">IF(W143="","", INDEX(Other!H:H, MATCH(W143, Other!B:B,0)))</f>
        <v/>
      </c>
      <c r="AI143" s="42"/>
      <c r="AJ143" s="42"/>
      <c r="AK143" s="299"/>
      <c r="AL143" s="301" t="str">
        <f t="shared" si="2"/>
        <v/>
      </c>
      <c r="AM143" s="42"/>
      <c r="AN143" s="42"/>
      <c r="AO143" s="44"/>
      <c r="AP143" s="114"/>
      <c r="AQ143" s="83"/>
      <c r="AR143" s="83"/>
      <c r="AS143" s="83"/>
      <c r="AT143" s="83"/>
      <c r="AU143" s="83"/>
      <c r="AV143" s="83"/>
      <c r="AW143" s="83"/>
      <c r="AX143" s="83"/>
      <c r="AY143" s="83"/>
      <c r="AZ143" s="83"/>
      <c r="BA143" s="83"/>
      <c r="BB143" s="83"/>
    </row>
    <row r="144">
      <c r="A144" s="101"/>
      <c r="B144" s="298"/>
      <c r="C144" s="42"/>
      <c r="D144" s="42"/>
      <c r="E144" s="42"/>
      <c r="F144" s="299"/>
      <c r="G144" s="300"/>
      <c r="H144" s="42"/>
      <c r="I144" s="299"/>
      <c r="J144" s="301" t="str">
        <f t="array" ref="J144">IF(B144="","", INDEX(Ingredients!G:G, MATCH(B144, Ingredients!B:B,0)))</f>
        <v/>
      </c>
      <c r="K144" s="42"/>
      <c r="L144" s="299"/>
      <c r="M144" s="301" t="str">
        <f t="array" ref="M144">IF(B144="","", INDEX(Ingredients!H:H, MATCH(B144, Ingredients!B:B,0)))</f>
        <v/>
      </c>
      <c r="N144" s="42"/>
      <c r="O144" s="42"/>
      <c r="P144" s="299"/>
      <c r="Q144" s="302" t="str">
        <f t="shared" si="1"/>
        <v/>
      </c>
      <c r="R144" s="42"/>
      <c r="S144" s="42"/>
      <c r="T144" s="44"/>
      <c r="U144" s="114"/>
      <c r="V144" s="101"/>
      <c r="W144" s="298"/>
      <c r="X144" s="42"/>
      <c r="Y144" s="42"/>
      <c r="Z144" s="42"/>
      <c r="AA144" s="299"/>
      <c r="AB144" s="300"/>
      <c r="AC144" s="42"/>
      <c r="AD144" s="299"/>
      <c r="AE144" s="301" t="str">
        <f t="array" ref="AE144">IF(W144="","", INDEX(Other!G:G, MATCH(W144, Other!B:B,0)))</f>
        <v/>
      </c>
      <c r="AF144" s="42"/>
      <c r="AG144" s="299"/>
      <c r="AH144" s="301" t="str">
        <f t="array" ref="AH144">IF(W144="","", INDEX(Other!H:H, MATCH(W144, Other!B:B,0)))</f>
        <v/>
      </c>
      <c r="AI144" s="42"/>
      <c r="AJ144" s="42"/>
      <c r="AK144" s="299"/>
      <c r="AL144" s="301" t="str">
        <f t="shared" si="2"/>
        <v/>
      </c>
      <c r="AM144" s="42"/>
      <c r="AN144" s="42"/>
      <c r="AO144" s="44"/>
      <c r="AP144" s="114"/>
      <c r="AQ144" s="83"/>
      <c r="AR144" s="83"/>
      <c r="AS144" s="83"/>
      <c r="AT144" s="83"/>
      <c r="AU144" s="83"/>
      <c r="AV144" s="83"/>
      <c r="AW144" s="83"/>
      <c r="AX144" s="83"/>
      <c r="AY144" s="83"/>
      <c r="AZ144" s="83"/>
      <c r="BA144" s="83"/>
      <c r="BB144" s="83"/>
    </row>
    <row r="145">
      <c r="A145" s="101"/>
      <c r="B145" s="298"/>
      <c r="C145" s="42"/>
      <c r="D145" s="42"/>
      <c r="E145" s="42"/>
      <c r="F145" s="299"/>
      <c r="G145" s="300"/>
      <c r="H145" s="42"/>
      <c r="I145" s="299"/>
      <c r="J145" s="301" t="str">
        <f t="array" ref="J145">IF(B145="","", INDEX(Ingredients!G:G, MATCH(B145, Ingredients!B:B,0)))</f>
        <v/>
      </c>
      <c r="K145" s="42"/>
      <c r="L145" s="299"/>
      <c r="M145" s="301" t="str">
        <f t="array" ref="M145">IF(B145="","", INDEX(Ingredients!H:H, MATCH(B145, Ingredients!B:B,0)))</f>
        <v/>
      </c>
      <c r="N145" s="42"/>
      <c r="O145" s="42"/>
      <c r="P145" s="299"/>
      <c r="Q145" s="302" t="str">
        <f t="shared" si="1"/>
        <v/>
      </c>
      <c r="R145" s="42"/>
      <c r="S145" s="42"/>
      <c r="T145" s="44"/>
      <c r="U145" s="114"/>
      <c r="V145" s="101"/>
      <c r="W145" s="298"/>
      <c r="X145" s="42"/>
      <c r="Y145" s="42"/>
      <c r="Z145" s="42"/>
      <c r="AA145" s="299"/>
      <c r="AB145" s="300"/>
      <c r="AC145" s="42"/>
      <c r="AD145" s="299"/>
      <c r="AE145" s="301" t="str">
        <f t="array" ref="AE145">IF(W145="","", INDEX(Other!G:G, MATCH(W145, Other!B:B,0)))</f>
        <v/>
      </c>
      <c r="AF145" s="42"/>
      <c r="AG145" s="299"/>
      <c r="AH145" s="301" t="str">
        <f t="array" ref="AH145">IF(W145="","", INDEX(Other!H:H, MATCH(W145, Other!B:B,0)))</f>
        <v/>
      </c>
      <c r="AI145" s="42"/>
      <c r="AJ145" s="42"/>
      <c r="AK145" s="299"/>
      <c r="AL145" s="301" t="str">
        <f t="shared" si="2"/>
        <v/>
      </c>
      <c r="AM145" s="42"/>
      <c r="AN145" s="42"/>
      <c r="AO145" s="44"/>
      <c r="AP145" s="114"/>
      <c r="AQ145" s="83"/>
      <c r="AR145" s="83"/>
      <c r="AS145" s="83"/>
      <c r="AT145" s="83"/>
      <c r="AU145" s="83"/>
      <c r="AV145" s="83"/>
      <c r="AW145" s="83"/>
      <c r="AX145" s="83"/>
      <c r="AY145" s="83"/>
      <c r="AZ145" s="83"/>
      <c r="BA145" s="83"/>
      <c r="BB145" s="83"/>
    </row>
    <row r="146">
      <c r="A146" s="101"/>
      <c r="B146" s="298"/>
      <c r="C146" s="42"/>
      <c r="D146" s="42"/>
      <c r="E146" s="42"/>
      <c r="F146" s="299"/>
      <c r="G146" s="300"/>
      <c r="H146" s="42"/>
      <c r="I146" s="299"/>
      <c r="J146" s="301" t="str">
        <f t="array" ref="J146">IF(B146="","", INDEX(Ingredients!G:G, MATCH(B146, Ingredients!B:B,0)))</f>
        <v/>
      </c>
      <c r="K146" s="42"/>
      <c r="L146" s="299"/>
      <c r="M146" s="301" t="str">
        <f t="array" ref="M146">IF(B146="","", INDEX(Ingredients!H:H, MATCH(B146, Ingredients!B:B,0)))</f>
        <v/>
      </c>
      <c r="N146" s="42"/>
      <c r="O146" s="42"/>
      <c r="P146" s="299"/>
      <c r="Q146" s="302" t="str">
        <f t="shared" si="1"/>
        <v/>
      </c>
      <c r="R146" s="42"/>
      <c r="S146" s="42"/>
      <c r="T146" s="44"/>
      <c r="U146" s="114"/>
      <c r="V146" s="101"/>
      <c r="W146" s="298"/>
      <c r="X146" s="42"/>
      <c r="Y146" s="42"/>
      <c r="Z146" s="42"/>
      <c r="AA146" s="299"/>
      <c r="AB146" s="300"/>
      <c r="AC146" s="42"/>
      <c r="AD146" s="299"/>
      <c r="AE146" s="301" t="str">
        <f t="array" ref="AE146">IF(W146="","", INDEX(Other!G:G, MATCH(W146, Other!B:B,0)))</f>
        <v/>
      </c>
      <c r="AF146" s="42"/>
      <c r="AG146" s="299"/>
      <c r="AH146" s="301" t="str">
        <f t="array" ref="AH146">IF(W146="","", INDEX(Other!H:H, MATCH(W146, Other!B:B,0)))</f>
        <v/>
      </c>
      <c r="AI146" s="42"/>
      <c r="AJ146" s="42"/>
      <c r="AK146" s="299"/>
      <c r="AL146" s="301" t="str">
        <f t="shared" si="2"/>
        <v/>
      </c>
      <c r="AM146" s="42"/>
      <c r="AN146" s="42"/>
      <c r="AO146" s="44"/>
      <c r="AP146" s="114"/>
      <c r="AQ146" s="83"/>
      <c r="AR146" s="83"/>
      <c r="AS146" s="83"/>
      <c r="AT146" s="83"/>
      <c r="AU146" s="83"/>
      <c r="AV146" s="83"/>
      <c r="AW146" s="83"/>
      <c r="AX146" s="83"/>
      <c r="AY146" s="83"/>
      <c r="AZ146" s="83"/>
      <c r="BA146" s="83"/>
      <c r="BB146" s="83"/>
    </row>
    <row r="147">
      <c r="A147" s="101"/>
      <c r="B147" s="298"/>
      <c r="C147" s="42"/>
      <c r="D147" s="42"/>
      <c r="E147" s="42"/>
      <c r="F147" s="299"/>
      <c r="G147" s="300"/>
      <c r="H147" s="42"/>
      <c r="I147" s="299"/>
      <c r="J147" s="301" t="str">
        <f t="array" ref="J147">IF(B147="","", INDEX(Ingredients!G:G, MATCH(B147, Ingredients!B:B,0)))</f>
        <v/>
      </c>
      <c r="K147" s="42"/>
      <c r="L147" s="299"/>
      <c r="M147" s="301" t="str">
        <f t="array" ref="M147">IF(B147="","", INDEX(Ingredients!H:H, MATCH(B147, Ingredients!B:B,0)))</f>
        <v/>
      </c>
      <c r="N147" s="42"/>
      <c r="O147" s="42"/>
      <c r="P147" s="299"/>
      <c r="Q147" s="302" t="str">
        <f t="shared" si="1"/>
        <v/>
      </c>
      <c r="R147" s="42"/>
      <c r="S147" s="42"/>
      <c r="T147" s="44"/>
      <c r="U147" s="114"/>
      <c r="V147" s="101"/>
      <c r="W147" s="298"/>
      <c r="X147" s="42"/>
      <c r="Y147" s="42"/>
      <c r="Z147" s="42"/>
      <c r="AA147" s="299"/>
      <c r="AB147" s="300"/>
      <c r="AC147" s="42"/>
      <c r="AD147" s="299"/>
      <c r="AE147" s="301" t="str">
        <f t="array" ref="AE147">IF(W147="","", INDEX(Other!G:G, MATCH(W147, Other!B:B,0)))</f>
        <v/>
      </c>
      <c r="AF147" s="42"/>
      <c r="AG147" s="299"/>
      <c r="AH147" s="301" t="str">
        <f t="array" ref="AH147">IF(W147="","", INDEX(Other!H:H, MATCH(W147, Other!B:B,0)))</f>
        <v/>
      </c>
      <c r="AI147" s="42"/>
      <c r="AJ147" s="42"/>
      <c r="AK147" s="299"/>
      <c r="AL147" s="301" t="str">
        <f t="shared" si="2"/>
        <v/>
      </c>
      <c r="AM147" s="42"/>
      <c r="AN147" s="42"/>
      <c r="AO147" s="44"/>
      <c r="AP147" s="114"/>
      <c r="AQ147" s="83"/>
      <c r="AR147" s="83"/>
      <c r="AS147" s="83"/>
      <c r="AT147" s="83"/>
      <c r="AU147" s="83"/>
      <c r="AV147" s="83"/>
      <c r="AW147" s="83"/>
      <c r="AX147" s="83"/>
      <c r="AY147" s="83"/>
      <c r="AZ147" s="83"/>
      <c r="BA147" s="83"/>
      <c r="BB147" s="83"/>
    </row>
    <row r="148">
      <c r="A148" s="101"/>
      <c r="B148" s="298"/>
      <c r="C148" s="42"/>
      <c r="D148" s="42"/>
      <c r="E148" s="42"/>
      <c r="F148" s="299"/>
      <c r="G148" s="300"/>
      <c r="H148" s="42"/>
      <c r="I148" s="299"/>
      <c r="J148" s="301" t="str">
        <f t="array" ref="J148">IF(B148="","", INDEX(Ingredients!G:G, MATCH(B148, Ingredients!B:B,0)))</f>
        <v/>
      </c>
      <c r="K148" s="42"/>
      <c r="L148" s="299"/>
      <c r="M148" s="301" t="str">
        <f t="array" ref="M148">IF(B148="","", INDEX(Ingredients!H:H, MATCH(B148, Ingredients!B:B,0)))</f>
        <v/>
      </c>
      <c r="N148" s="42"/>
      <c r="O148" s="42"/>
      <c r="P148" s="299"/>
      <c r="Q148" s="302" t="str">
        <f t="shared" si="1"/>
        <v/>
      </c>
      <c r="R148" s="42"/>
      <c r="S148" s="42"/>
      <c r="T148" s="44"/>
      <c r="U148" s="114"/>
      <c r="V148" s="101"/>
      <c r="W148" s="298"/>
      <c r="X148" s="42"/>
      <c r="Y148" s="42"/>
      <c r="Z148" s="42"/>
      <c r="AA148" s="299"/>
      <c r="AB148" s="300"/>
      <c r="AC148" s="42"/>
      <c r="AD148" s="299"/>
      <c r="AE148" s="301" t="str">
        <f t="array" ref="AE148">IF(W148="","", INDEX(Other!G:G, MATCH(W148, Other!B:B,0)))</f>
        <v/>
      </c>
      <c r="AF148" s="42"/>
      <c r="AG148" s="299"/>
      <c r="AH148" s="301" t="str">
        <f t="array" ref="AH148">IF(W148="","", INDEX(Other!H:H, MATCH(W148, Other!B:B,0)))</f>
        <v/>
      </c>
      <c r="AI148" s="42"/>
      <c r="AJ148" s="42"/>
      <c r="AK148" s="299"/>
      <c r="AL148" s="301" t="str">
        <f t="shared" si="2"/>
        <v/>
      </c>
      <c r="AM148" s="42"/>
      <c r="AN148" s="42"/>
      <c r="AO148" s="44"/>
      <c r="AP148" s="114"/>
      <c r="AQ148" s="83"/>
      <c r="AR148" s="83"/>
      <c r="AS148" s="83"/>
      <c r="AT148" s="83"/>
      <c r="AU148" s="83"/>
      <c r="AV148" s="83"/>
      <c r="AW148" s="83"/>
      <c r="AX148" s="83"/>
      <c r="AY148" s="83"/>
      <c r="AZ148" s="83"/>
      <c r="BA148" s="83"/>
      <c r="BB148" s="83"/>
    </row>
    <row r="149">
      <c r="A149" s="101"/>
      <c r="B149" s="298"/>
      <c r="C149" s="42"/>
      <c r="D149" s="42"/>
      <c r="E149" s="42"/>
      <c r="F149" s="299"/>
      <c r="G149" s="300"/>
      <c r="H149" s="42"/>
      <c r="I149" s="299"/>
      <c r="J149" s="301" t="str">
        <f t="array" ref="J149">IF(B149="","", INDEX(Ingredients!G:G, MATCH(B149, Ingredients!B:B,0)))</f>
        <v/>
      </c>
      <c r="K149" s="42"/>
      <c r="L149" s="299"/>
      <c r="M149" s="301" t="str">
        <f t="array" ref="M149">IF(B149="","", INDEX(Ingredients!H:H, MATCH(B149, Ingredients!B:B,0)))</f>
        <v/>
      </c>
      <c r="N149" s="42"/>
      <c r="O149" s="42"/>
      <c r="P149" s="299"/>
      <c r="Q149" s="302" t="str">
        <f t="shared" si="1"/>
        <v/>
      </c>
      <c r="R149" s="42"/>
      <c r="S149" s="42"/>
      <c r="T149" s="44"/>
      <c r="U149" s="114"/>
      <c r="V149" s="101"/>
      <c r="W149" s="298"/>
      <c r="X149" s="42"/>
      <c r="Y149" s="42"/>
      <c r="Z149" s="42"/>
      <c r="AA149" s="299"/>
      <c r="AB149" s="300"/>
      <c r="AC149" s="42"/>
      <c r="AD149" s="299"/>
      <c r="AE149" s="301" t="str">
        <f t="array" ref="AE149">IF(W149="","", INDEX(Other!G:G, MATCH(W149, Other!B:B,0)))</f>
        <v/>
      </c>
      <c r="AF149" s="42"/>
      <c r="AG149" s="299"/>
      <c r="AH149" s="301" t="str">
        <f t="array" ref="AH149">IF(W149="","", INDEX(Other!H:H, MATCH(W149, Other!B:B,0)))</f>
        <v/>
      </c>
      <c r="AI149" s="42"/>
      <c r="AJ149" s="42"/>
      <c r="AK149" s="299"/>
      <c r="AL149" s="301" t="str">
        <f t="shared" si="2"/>
        <v/>
      </c>
      <c r="AM149" s="42"/>
      <c r="AN149" s="42"/>
      <c r="AO149" s="44"/>
      <c r="AP149" s="114"/>
      <c r="AQ149" s="83"/>
      <c r="AR149" s="83"/>
      <c r="AS149" s="83"/>
      <c r="AT149" s="83"/>
      <c r="AU149" s="83"/>
      <c r="AV149" s="83"/>
      <c r="AW149" s="83"/>
      <c r="AX149" s="83"/>
      <c r="AY149" s="83"/>
      <c r="AZ149" s="83"/>
      <c r="BA149" s="83"/>
      <c r="BB149" s="83"/>
    </row>
    <row r="150">
      <c r="A150" s="101"/>
      <c r="B150" s="298"/>
      <c r="C150" s="42"/>
      <c r="D150" s="42"/>
      <c r="E150" s="42"/>
      <c r="F150" s="299"/>
      <c r="G150" s="300"/>
      <c r="H150" s="42"/>
      <c r="I150" s="299"/>
      <c r="J150" s="301" t="str">
        <f t="array" ref="J150">IF(B150="","", INDEX(Ingredients!G:G, MATCH(B150, Ingredients!B:B,0)))</f>
        <v/>
      </c>
      <c r="K150" s="42"/>
      <c r="L150" s="299"/>
      <c r="M150" s="301" t="str">
        <f t="array" ref="M150">IF(B150="","", INDEX(Ingredients!H:H, MATCH(B150, Ingredients!B:B,0)))</f>
        <v/>
      </c>
      <c r="N150" s="42"/>
      <c r="O150" s="42"/>
      <c r="P150" s="299"/>
      <c r="Q150" s="302" t="str">
        <f t="shared" si="1"/>
        <v/>
      </c>
      <c r="R150" s="42"/>
      <c r="S150" s="42"/>
      <c r="T150" s="44"/>
      <c r="U150" s="114"/>
      <c r="V150" s="101"/>
      <c r="W150" s="298"/>
      <c r="X150" s="42"/>
      <c r="Y150" s="42"/>
      <c r="Z150" s="42"/>
      <c r="AA150" s="299"/>
      <c r="AB150" s="300"/>
      <c r="AC150" s="42"/>
      <c r="AD150" s="299"/>
      <c r="AE150" s="301" t="str">
        <f t="array" ref="AE150">IF(W150="","", INDEX(Other!G:G, MATCH(W150, Other!B:B,0)))</f>
        <v/>
      </c>
      <c r="AF150" s="42"/>
      <c r="AG150" s="299"/>
      <c r="AH150" s="301" t="str">
        <f t="array" ref="AH150">IF(W150="","", INDEX(Other!H:H, MATCH(W150, Other!B:B,0)))</f>
        <v/>
      </c>
      <c r="AI150" s="42"/>
      <c r="AJ150" s="42"/>
      <c r="AK150" s="299"/>
      <c r="AL150" s="301" t="str">
        <f t="shared" si="2"/>
        <v/>
      </c>
      <c r="AM150" s="42"/>
      <c r="AN150" s="42"/>
      <c r="AO150" s="44"/>
      <c r="AP150" s="114"/>
      <c r="AQ150" s="83"/>
      <c r="AR150" s="83"/>
      <c r="AS150" s="83"/>
      <c r="AT150" s="83"/>
      <c r="AU150" s="83"/>
      <c r="AV150" s="83"/>
      <c r="AW150" s="83"/>
      <c r="AX150" s="83"/>
      <c r="AY150" s="83"/>
      <c r="AZ150" s="83"/>
      <c r="BA150" s="83"/>
      <c r="BB150" s="83"/>
    </row>
    <row r="151">
      <c r="A151" s="101"/>
      <c r="B151" s="298"/>
      <c r="C151" s="42"/>
      <c r="D151" s="42"/>
      <c r="E151" s="42"/>
      <c r="F151" s="299"/>
      <c r="G151" s="300"/>
      <c r="H151" s="42"/>
      <c r="I151" s="299"/>
      <c r="J151" s="301" t="str">
        <f t="array" ref="J151">IF(B151="","", INDEX(Ingredients!G:G, MATCH(B151, Ingredients!B:B,0)))</f>
        <v/>
      </c>
      <c r="K151" s="42"/>
      <c r="L151" s="299"/>
      <c r="M151" s="301" t="str">
        <f t="array" ref="M151">IF(B151="","", INDEX(Ingredients!H:H, MATCH(B151, Ingredients!B:B,0)))</f>
        <v/>
      </c>
      <c r="N151" s="42"/>
      <c r="O151" s="42"/>
      <c r="P151" s="299"/>
      <c r="Q151" s="302" t="str">
        <f t="shared" si="1"/>
        <v/>
      </c>
      <c r="R151" s="42"/>
      <c r="S151" s="42"/>
      <c r="T151" s="44"/>
      <c r="U151" s="114"/>
      <c r="V151" s="101"/>
      <c r="W151" s="298"/>
      <c r="X151" s="42"/>
      <c r="Y151" s="42"/>
      <c r="Z151" s="42"/>
      <c r="AA151" s="299"/>
      <c r="AB151" s="300"/>
      <c r="AC151" s="42"/>
      <c r="AD151" s="299"/>
      <c r="AE151" s="301" t="str">
        <f t="array" ref="AE151">IF(W151="","", INDEX(Other!G:G, MATCH(W151, Other!B:B,0)))</f>
        <v/>
      </c>
      <c r="AF151" s="42"/>
      <c r="AG151" s="299"/>
      <c r="AH151" s="301" t="str">
        <f t="array" ref="AH151">IF(W151="","", INDEX(Other!H:H, MATCH(W151, Other!B:B,0)))</f>
        <v/>
      </c>
      <c r="AI151" s="42"/>
      <c r="AJ151" s="42"/>
      <c r="AK151" s="299"/>
      <c r="AL151" s="301" t="str">
        <f t="shared" si="2"/>
        <v/>
      </c>
      <c r="AM151" s="42"/>
      <c r="AN151" s="42"/>
      <c r="AO151" s="44"/>
      <c r="AP151" s="114"/>
      <c r="AQ151" s="83"/>
      <c r="AR151" s="83"/>
      <c r="AS151" s="83"/>
      <c r="AT151" s="83"/>
      <c r="AU151" s="83"/>
      <c r="AV151" s="83"/>
      <c r="AW151" s="83"/>
      <c r="AX151" s="83"/>
      <c r="AY151" s="83"/>
      <c r="AZ151" s="83"/>
      <c r="BA151" s="83"/>
      <c r="BB151" s="83"/>
    </row>
    <row r="152">
      <c r="A152" s="101"/>
      <c r="B152" s="298"/>
      <c r="C152" s="42"/>
      <c r="D152" s="42"/>
      <c r="E152" s="42"/>
      <c r="F152" s="299"/>
      <c r="G152" s="300"/>
      <c r="H152" s="42"/>
      <c r="I152" s="299"/>
      <c r="J152" s="301" t="str">
        <f t="array" ref="J152">IF(B152="","", INDEX(Ingredients!G:G, MATCH(B152, Ingredients!B:B,0)))</f>
        <v/>
      </c>
      <c r="K152" s="42"/>
      <c r="L152" s="299"/>
      <c r="M152" s="301" t="str">
        <f t="array" ref="M152">IF(B152="","", INDEX(Ingredients!H:H, MATCH(B152, Ingredients!B:B,0)))</f>
        <v/>
      </c>
      <c r="N152" s="42"/>
      <c r="O152" s="42"/>
      <c r="P152" s="299"/>
      <c r="Q152" s="302" t="str">
        <f t="shared" si="1"/>
        <v/>
      </c>
      <c r="R152" s="42"/>
      <c r="S152" s="42"/>
      <c r="T152" s="44"/>
      <c r="U152" s="114"/>
      <c r="V152" s="101"/>
      <c r="W152" s="298"/>
      <c r="X152" s="42"/>
      <c r="Y152" s="42"/>
      <c r="Z152" s="42"/>
      <c r="AA152" s="299"/>
      <c r="AB152" s="300"/>
      <c r="AC152" s="42"/>
      <c r="AD152" s="299"/>
      <c r="AE152" s="301" t="str">
        <f t="array" ref="AE152">IF(W152="","", INDEX(Other!G:G, MATCH(W152, Other!B:B,0)))</f>
        <v/>
      </c>
      <c r="AF152" s="42"/>
      <c r="AG152" s="299"/>
      <c r="AH152" s="301" t="str">
        <f t="array" ref="AH152">IF(W152="","", INDEX(Other!H:H, MATCH(W152, Other!B:B,0)))</f>
        <v/>
      </c>
      <c r="AI152" s="42"/>
      <c r="AJ152" s="42"/>
      <c r="AK152" s="299"/>
      <c r="AL152" s="301" t="str">
        <f t="shared" si="2"/>
        <v/>
      </c>
      <c r="AM152" s="42"/>
      <c r="AN152" s="42"/>
      <c r="AO152" s="44"/>
      <c r="AP152" s="114"/>
      <c r="AQ152" s="83"/>
      <c r="AR152" s="83"/>
      <c r="AS152" s="83"/>
      <c r="AT152" s="83"/>
      <c r="AU152" s="83"/>
      <c r="AV152" s="83"/>
      <c r="AW152" s="83"/>
      <c r="AX152" s="83"/>
      <c r="AY152" s="83"/>
      <c r="AZ152" s="83"/>
      <c r="BA152" s="83"/>
      <c r="BB152" s="83"/>
    </row>
    <row r="153">
      <c r="A153" s="101"/>
      <c r="B153" s="298"/>
      <c r="C153" s="42"/>
      <c r="D153" s="42"/>
      <c r="E153" s="42"/>
      <c r="F153" s="299"/>
      <c r="G153" s="300"/>
      <c r="H153" s="42"/>
      <c r="I153" s="299"/>
      <c r="J153" s="301" t="str">
        <f t="array" ref="J153">IF(B153="","", INDEX(Ingredients!G:G, MATCH(B153, Ingredients!B:B,0)))</f>
        <v/>
      </c>
      <c r="K153" s="42"/>
      <c r="L153" s="299"/>
      <c r="M153" s="301" t="str">
        <f t="array" ref="M153">IF(B153="","", INDEX(Ingredients!H:H, MATCH(B153, Ingredients!B:B,0)))</f>
        <v/>
      </c>
      <c r="N153" s="42"/>
      <c r="O153" s="42"/>
      <c r="P153" s="299"/>
      <c r="Q153" s="302" t="str">
        <f t="shared" si="1"/>
        <v/>
      </c>
      <c r="R153" s="42"/>
      <c r="S153" s="42"/>
      <c r="T153" s="44"/>
      <c r="U153" s="114"/>
      <c r="V153" s="101"/>
      <c r="W153" s="298"/>
      <c r="X153" s="42"/>
      <c r="Y153" s="42"/>
      <c r="Z153" s="42"/>
      <c r="AA153" s="299"/>
      <c r="AB153" s="300"/>
      <c r="AC153" s="42"/>
      <c r="AD153" s="299"/>
      <c r="AE153" s="301" t="str">
        <f t="array" ref="AE153">IF(W153="","", INDEX(Other!G:G, MATCH(W153, Other!B:B,0)))</f>
        <v/>
      </c>
      <c r="AF153" s="42"/>
      <c r="AG153" s="299"/>
      <c r="AH153" s="301" t="str">
        <f t="array" ref="AH153">IF(W153="","", INDEX(Other!H:H, MATCH(W153, Other!B:B,0)))</f>
        <v/>
      </c>
      <c r="AI153" s="42"/>
      <c r="AJ153" s="42"/>
      <c r="AK153" s="299"/>
      <c r="AL153" s="301" t="str">
        <f t="shared" si="2"/>
        <v/>
      </c>
      <c r="AM153" s="42"/>
      <c r="AN153" s="42"/>
      <c r="AO153" s="44"/>
      <c r="AP153" s="114"/>
      <c r="AQ153" s="83"/>
      <c r="AR153" s="83"/>
      <c r="AS153" s="83"/>
      <c r="AT153" s="83"/>
      <c r="AU153" s="83"/>
      <c r="AV153" s="83"/>
      <c r="AW153" s="83"/>
      <c r="AX153" s="83"/>
      <c r="AY153" s="83"/>
      <c r="AZ153" s="83"/>
      <c r="BA153" s="83"/>
      <c r="BB153" s="83"/>
    </row>
    <row r="154">
      <c r="A154" s="101"/>
      <c r="B154" s="298"/>
      <c r="C154" s="42"/>
      <c r="D154" s="42"/>
      <c r="E154" s="42"/>
      <c r="F154" s="299"/>
      <c r="G154" s="300"/>
      <c r="H154" s="42"/>
      <c r="I154" s="299"/>
      <c r="J154" s="301" t="str">
        <f t="array" ref="J154">IF(B154="","", INDEX(Ingredients!G:G, MATCH(B154, Ingredients!B:B,0)))</f>
        <v/>
      </c>
      <c r="K154" s="42"/>
      <c r="L154" s="299"/>
      <c r="M154" s="301" t="str">
        <f t="array" ref="M154">IF(B154="","", INDEX(Ingredients!H:H, MATCH(B154, Ingredients!B:B,0)))</f>
        <v/>
      </c>
      <c r="N154" s="42"/>
      <c r="O154" s="42"/>
      <c r="P154" s="299"/>
      <c r="Q154" s="302" t="str">
        <f t="shared" si="1"/>
        <v/>
      </c>
      <c r="R154" s="42"/>
      <c r="S154" s="42"/>
      <c r="T154" s="44"/>
      <c r="U154" s="114"/>
      <c r="V154" s="101"/>
      <c r="W154" s="298"/>
      <c r="X154" s="42"/>
      <c r="Y154" s="42"/>
      <c r="Z154" s="42"/>
      <c r="AA154" s="299"/>
      <c r="AB154" s="300"/>
      <c r="AC154" s="42"/>
      <c r="AD154" s="299"/>
      <c r="AE154" s="301" t="str">
        <f t="array" ref="AE154">IF(W154="","", INDEX(Other!G:G, MATCH(W154, Other!B:B,0)))</f>
        <v/>
      </c>
      <c r="AF154" s="42"/>
      <c r="AG154" s="299"/>
      <c r="AH154" s="301" t="str">
        <f t="array" ref="AH154">IF(W154="","", INDEX(Other!H:H, MATCH(W154, Other!B:B,0)))</f>
        <v/>
      </c>
      <c r="AI154" s="42"/>
      <c r="AJ154" s="42"/>
      <c r="AK154" s="299"/>
      <c r="AL154" s="301" t="str">
        <f t="shared" si="2"/>
        <v/>
      </c>
      <c r="AM154" s="42"/>
      <c r="AN154" s="42"/>
      <c r="AO154" s="44"/>
      <c r="AP154" s="114"/>
      <c r="AQ154" s="83"/>
      <c r="AR154" s="83"/>
      <c r="AS154" s="83"/>
      <c r="AT154" s="83"/>
      <c r="AU154" s="83"/>
      <c r="AV154" s="83"/>
      <c r="AW154" s="83"/>
      <c r="AX154" s="83"/>
      <c r="AY154" s="83"/>
      <c r="AZ154" s="83"/>
      <c r="BA154" s="83"/>
      <c r="BB154" s="83"/>
    </row>
    <row r="155">
      <c r="A155" s="101"/>
      <c r="B155" s="298"/>
      <c r="C155" s="42"/>
      <c r="D155" s="42"/>
      <c r="E155" s="42"/>
      <c r="F155" s="299"/>
      <c r="G155" s="300"/>
      <c r="H155" s="42"/>
      <c r="I155" s="299"/>
      <c r="J155" s="301" t="str">
        <f t="array" ref="J155">IF(B155="","", INDEX(Ingredients!G:G, MATCH(B155, Ingredients!B:B,0)))</f>
        <v/>
      </c>
      <c r="K155" s="42"/>
      <c r="L155" s="299"/>
      <c r="M155" s="301" t="str">
        <f t="array" ref="M155">IF(B155="","", INDEX(Ingredients!H:H, MATCH(B155, Ingredients!B:B,0)))</f>
        <v/>
      </c>
      <c r="N155" s="42"/>
      <c r="O155" s="42"/>
      <c r="P155" s="299"/>
      <c r="Q155" s="302" t="str">
        <f t="shared" si="1"/>
        <v/>
      </c>
      <c r="R155" s="42"/>
      <c r="S155" s="42"/>
      <c r="T155" s="44"/>
      <c r="U155" s="114"/>
      <c r="V155" s="101"/>
      <c r="W155" s="298"/>
      <c r="X155" s="42"/>
      <c r="Y155" s="42"/>
      <c r="Z155" s="42"/>
      <c r="AA155" s="299"/>
      <c r="AB155" s="300"/>
      <c r="AC155" s="42"/>
      <c r="AD155" s="299"/>
      <c r="AE155" s="301" t="str">
        <f t="array" ref="AE155">IF(W155="","", INDEX(Other!G:G, MATCH(W155, Other!B:B,0)))</f>
        <v/>
      </c>
      <c r="AF155" s="42"/>
      <c r="AG155" s="299"/>
      <c r="AH155" s="301" t="str">
        <f t="array" ref="AH155">IF(W155="","", INDEX(Other!H:H, MATCH(W155, Other!B:B,0)))</f>
        <v/>
      </c>
      <c r="AI155" s="42"/>
      <c r="AJ155" s="42"/>
      <c r="AK155" s="299"/>
      <c r="AL155" s="301" t="str">
        <f t="shared" si="2"/>
        <v/>
      </c>
      <c r="AM155" s="42"/>
      <c r="AN155" s="42"/>
      <c r="AO155" s="44"/>
      <c r="AP155" s="114"/>
      <c r="AQ155" s="83"/>
      <c r="AR155" s="83"/>
      <c r="AS155" s="83"/>
      <c r="AT155" s="83"/>
      <c r="AU155" s="83"/>
      <c r="AV155" s="83"/>
      <c r="AW155" s="83"/>
      <c r="AX155" s="83"/>
      <c r="AY155" s="83"/>
      <c r="AZ155" s="83"/>
      <c r="BA155" s="83"/>
      <c r="BB155" s="83"/>
    </row>
    <row r="156">
      <c r="A156" s="101"/>
      <c r="B156" s="298"/>
      <c r="C156" s="42"/>
      <c r="D156" s="42"/>
      <c r="E156" s="42"/>
      <c r="F156" s="299"/>
      <c r="G156" s="300"/>
      <c r="H156" s="42"/>
      <c r="I156" s="299"/>
      <c r="J156" s="301" t="str">
        <f t="array" ref="J156">IF(B156="","", INDEX(Ingredients!G:G, MATCH(B156, Ingredients!B:B,0)))</f>
        <v/>
      </c>
      <c r="K156" s="42"/>
      <c r="L156" s="299"/>
      <c r="M156" s="301" t="str">
        <f t="array" ref="M156">IF(B156="","", INDEX(Ingredients!H:H, MATCH(B156, Ingredients!B:B,0)))</f>
        <v/>
      </c>
      <c r="N156" s="42"/>
      <c r="O156" s="42"/>
      <c r="P156" s="299"/>
      <c r="Q156" s="302" t="str">
        <f t="shared" si="1"/>
        <v/>
      </c>
      <c r="R156" s="42"/>
      <c r="S156" s="42"/>
      <c r="T156" s="44"/>
      <c r="U156" s="114"/>
      <c r="V156" s="101"/>
      <c r="W156" s="298"/>
      <c r="X156" s="42"/>
      <c r="Y156" s="42"/>
      <c r="Z156" s="42"/>
      <c r="AA156" s="299"/>
      <c r="AB156" s="300"/>
      <c r="AC156" s="42"/>
      <c r="AD156" s="299"/>
      <c r="AE156" s="301" t="str">
        <f t="array" ref="AE156">IF(W156="","", INDEX(Other!G:G, MATCH(W156, Other!B:B,0)))</f>
        <v/>
      </c>
      <c r="AF156" s="42"/>
      <c r="AG156" s="299"/>
      <c r="AH156" s="301" t="str">
        <f t="array" ref="AH156">IF(W156="","", INDEX(Other!H:H, MATCH(W156, Other!B:B,0)))</f>
        <v/>
      </c>
      <c r="AI156" s="42"/>
      <c r="AJ156" s="42"/>
      <c r="AK156" s="299"/>
      <c r="AL156" s="301" t="str">
        <f t="shared" si="2"/>
        <v/>
      </c>
      <c r="AM156" s="42"/>
      <c r="AN156" s="42"/>
      <c r="AO156" s="44"/>
      <c r="AP156" s="114"/>
      <c r="AQ156" s="83"/>
      <c r="AR156" s="83"/>
      <c r="AS156" s="83"/>
      <c r="AT156" s="83"/>
      <c r="AU156" s="83"/>
      <c r="AV156" s="83"/>
      <c r="AW156" s="83"/>
      <c r="AX156" s="83"/>
      <c r="AY156" s="83"/>
      <c r="AZ156" s="83"/>
      <c r="BA156" s="83"/>
      <c r="BB156" s="83"/>
    </row>
    <row r="157">
      <c r="A157" s="101"/>
      <c r="B157" s="298"/>
      <c r="C157" s="42"/>
      <c r="D157" s="42"/>
      <c r="E157" s="42"/>
      <c r="F157" s="299"/>
      <c r="G157" s="300"/>
      <c r="H157" s="42"/>
      <c r="I157" s="299"/>
      <c r="J157" s="301" t="str">
        <f t="array" ref="J157">IF(B157="","", INDEX(Ingredients!G:G, MATCH(B157, Ingredients!B:B,0)))</f>
        <v/>
      </c>
      <c r="K157" s="42"/>
      <c r="L157" s="299"/>
      <c r="M157" s="301" t="str">
        <f t="array" ref="M157">IF(B157="","", INDEX(Ingredients!H:H, MATCH(B157, Ingredients!B:B,0)))</f>
        <v/>
      </c>
      <c r="N157" s="42"/>
      <c r="O157" s="42"/>
      <c r="P157" s="299"/>
      <c r="Q157" s="302" t="str">
        <f t="shared" si="1"/>
        <v/>
      </c>
      <c r="R157" s="42"/>
      <c r="S157" s="42"/>
      <c r="T157" s="44"/>
      <c r="U157" s="114"/>
      <c r="V157" s="101"/>
      <c r="W157" s="298"/>
      <c r="X157" s="42"/>
      <c r="Y157" s="42"/>
      <c r="Z157" s="42"/>
      <c r="AA157" s="299"/>
      <c r="AB157" s="300"/>
      <c r="AC157" s="42"/>
      <c r="AD157" s="299"/>
      <c r="AE157" s="301" t="str">
        <f t="array" ref="AE157">IF(W157="","", INDEX(Other!G:G, MATCH(W157, Other!B:B,0)))</f>
        <v/>
      </c>
      <c r="AF157" s="42"/>
      <c r="AG157" s="299"/>
      <c r="AH157" s="301" t="str">
        <f t="array" ref="AH157">IF(W157="","", INDEX(Other!H:H, MATCH(W157, Other!B:B,0)))</f>
        <v/>
      </c>
      <c r="AI157" s="42"/>
      <c r="AJ157" s="42"/>
      <c r="AK157" s="299"/>
      <c r="AL157" s="301" t="str">
        <f t="shared" si="2"/>
        <v/>
      </c>
      <c r="AM157" s="42"/>
      <c r="AN157" s="42"/>
      <c r="AO157" s="44"/>
      <c r="AP157" s="114"/>
      <c r="AQ157" s="83"/>
      <c r="AR157" s="83"/>
      <c r="AS157" s="83"/>
      <c r="AT157" s="83"/>
      <c r="AU157" s="83"/>
      <c r="AV157" s="83"/>
      <c r="AW157" s="83"/>
      <c r="AX157" s="83"/>
      <c r="AY157" s="83"/>
      <c r="AZ157" s="83"/>
      <c r="BA157" s="83"/>
      <c r="BB157" s="83"/>
    </row>
    <row r="158">
      <c r="A158" s="101"/>
      <c r="B158" s="298"/>
      <c r="C158" s="42"/>
      <c r="D158" s="42"/>
      <c r="E158" s="42"/>
      <c r="F158" s="299"/>
      <c r="G158" s="300"/>
      <c r="H158" s="42"/>
      <c r="I158" s="299"/>
      <c r="J158" s="301" t="str">
        <f t="array" ref="J158">IF(B158="","", INDEX(Ingredients!G:G, MATCH(B158, Ingredients!B:B,0)))</f>
        <v/>
      </c>
      <c r="K158" s="42"/>
      <c r="L158" s="299"/>
      <c r="M158" s="301" t="str">
        <f t="array" ref="M158">IF(B158="","", INDEX(Ingredients!H:H, MATCH(B158, Ingredients!B:B,0)))</f>
        <v/>
      </c>
      <c r="N158" s="42"/>
      <c r="O158" s="42"/>
      <c r="P158" s="299"/>
      <c r="Q158" s="302" t="str">
        <f t="shared" si="1"/>
        <v/>
      </c>
      <c r="R158" s="42"/>
      <c r="S158" s="42"/>
      <c r="T158" s="44"/>
      <c r="U158" s="114"/>
      <c r="V158" s="101"/>
      <c r="W158" s="298"/>
      <c r="X158" s="42"/>
      <c r="Y158" s="42"/>
      <c r="Z158" s="42"/>
      <c r="AA158" s="299"/>
      <c r="AB158" s="300"/>
      <c r="AC158" s="42"/>
      <c r="AD158" s="299"/>
      <c r="AE158" s="301" t="str">
        <f t="array" ref="AE158">IF(W158="","", INDEX(Other!G:G, MATCH(W158, Other!B:B,0)))</f>
        <v/>
      </c>
      <c r="AF158" s="42"/>
      <c r="AG158" s="299"/>
      <c r="AH158" s="301" t="str">
        <f t="array" ref="AH158">IF(W158="","", INDEX(Other!H:H, MATCH(W158, Other!B:B,0)))</f>
        <v/>
      </c>
      <c r="AI158" s="42"/>
      <c r="AJ158" s="42"/>
      <c r="AK158" s="299"/>
      <c r="AL158" s="301" t="str">
        <f t="shared" si="2"/>
        <v/>
      </c>
      <c r="AM158" s="42"/>
      <c r="AN158" s="42"/>
      <c r="AO158" s="44"/>
      <c r="AP158" s="114"/>
      <c r="AQ158" s="83"/>
      <c r="AR158" s="83"/>
      <c r="AS158" s="83"/>
      <c r="AT158" s="83"/>
      <c r="AU158" s="83"/>
      <c r="AV158" s="83"/>
      <c r="AW158" s="83"/>
      <c r="AX158" s="83"/>
      <c r="AY158" s="83"/>
      <c r="AZ158" s="83"/>
      <c r="BA158" s="83"/>
      <c r="BB158" s="83"/>
    </row>
    <row r="159">
      <c r="A159" s="101"/>
      <c r="B159" s="298"/>
      <c r="C159" s="42"/>
      <c r="D159" s="42"/>
      <c r="E159" s="42"/>
      <c r="F159" s="299"/>
      <c r="G159" s="300"/>
      <c r="H159" s="42"/>
      <c r="I159" s="299"/>
      <c r="J159" s="301" t="str">
        <f t="array" ref="J159">IF(B159="","", INDEX(Ingredients!G:G, MATCH(B159, Ingredients!B:B,0)))</f>
        <v/>
      </c>
      <c r="K159" s="42"/>
      <c r="L159" s="299"/>
      <c r="M159" s="301" t="str">
        <f t="array" ref="M159">IF(B159="","", INDEX(Ingredients!H:H, MATCH(B159, Ingredients!B:B,0)))</f>
        <v/>
      </c>
      <c r="N159" s="42"/>
      <c r="O159" s="42"/>
      <c r="P159" s="299"/>
      <c r="Q159" s="302" t="str">
        <f t="shared" si="1"/>
        <v/>
      </c>
      <c r="R159" s="42"/>
      <c r="S159" s="42"/>
      <c r="T159" s="44"/>
      <c r="U159" s="114"/>
      <c r="V159" s="101"/>
      <c r="W159" s="298"/>
      <c r="X159" s="42"/>
      <c r="Y159" s="42"/>
      <c r="Z159" s="42"/>
      <c r="AA159" s="299"/>
      <c r="AB159" s="300"/>
      <c r="AC159" s="42"/>
      <c r="AD159" s="299"/>
      <c r="AE159" s="301" t="str">
        <f t="array" ref="AE159">IF(W159="","", INDEX(Other!G:G, MATCH(W159, Other!B:B,0)))</f>
        <v/>
      </c>
      <c r="AF159" s="42"/>
      <c r="AG159" s="299"/>
      <c r="AH159" s="301" t="str">
        <f t="array" ref="AH159">IF(W159="","", INDEX(Other!H:H, MATCH(W159, Other!B:B,0)))</f>
        <v/>
      </c>
      <c r="AI159" s="42"/>
      <c r="AJ159" s="42"/>
      <c r="AK159" s="299"/>
      <c r="AL159" s="301" t="str">
        <f t="shared" si="2"/>
        <v/>
      </c>
      <c r="AM159" s="42"/>
      <c r="AN159" s="42"/>
      <c r="AO159" s="44"/>
      <c r="AP159" s="114"/>
      <c r="AQ159" s="83"/>
      <c r="AR159" s="83"/>
      <c r="AS159" s="83"/>
      <c r="AT159" s="83"/>
      <c r="AU159" s="83"/>
      <c r="AV159" s="83"/>
      <c r="AW159" s="83"/>
      <c r="AX159" s="83"/>
      <c r="AY159" s="83"/>
      <c r="AZ159" s="83"/>
      <c r="BA159" s="83"/>
      <c r="BB159" s="83"/>
    </row>
    <row r="160">
      <c r="A160" s="101"/>
      <c r="B160" s="298"/>
      <c r="C160" s="42"/>
      <c r="D160" s="42"/>
      <c r="E160" s="42"/>
      <c r="F160" s="299"/>
      <c r="G160" s="300"/>
      <c r="H160" s="42"/>
      <c r="I160" s="299"/>
      <c r="J160" s="301" t="str">
        <f t="array" ref="J160">IF(B160="","", INDEX(Ingredients!G:G, MATCH(B160, Ingredients!B:B,0)))</f>
        <v/>
      </c>
      <c r="K160" s="42"/>
      <c r="L160" s="299"/>
      <c r="M160" s="301" t="str">
        <f t="array" ref="M160">IF(B160="","", INDEX(Ingredients!H:H, MATCH(B160, Ingredients!B:B,0)))</f>
        <v/>
      </c>
      <c r="N160" s="42"/>
      <c r="O160" s="42"/>
      <c r="P160" s="299"/>
      <c r="Q160" s="302" t="str">
        <f t="shared" si="1"/>
        <v/>
      </c>
      <c r="R160" s="42"/>
      <c r="S160" s="42"/>
      <c r="T160" s="44"/>
      <c r="U160" s="114"/>
      <c r="V160" s="101"/>
      <c r="W160" s="298"/>
      <c r="X160" s="42"/>
      <c r="Y160" s="42"/>
      <c r="Z160" s="42"/>
      <c r="AA160" s="299"/>
      <c r="AB160" s="300"/>
      <c r="AC160" s="42"/>
      <c r="AD160" s="299"/>
      <c r="AE160" s="301" t="str">
        <f t="array" ref="AE160">IF(W160="","", INDEX(Other!G:G, MATCH(W160, Other!B:B,0)))</f>
        <v/>
      </c>
      <c r="AF160" s="42"/>
      <c r="AG160" s="299"/>
      <c r="AH160" s="301" t="str">
        <f t="array" ref="AH160">IF(W160="","", INDEX(Other!H:H, MATCH(W160, Other!B:B,0)))</f>
        <v/>
      </c>
      <c r="AI160" s="42"/>
      <c r="AJ160" s="42"/>
      <c r="AK160" s="299"/>
      <c r="AL160" s="301" t="str">
        <f t="shared" si="2"/>
        <v/>
      </c>
      <c r="AM160" s="42"/>
      <c r="AN160" s="42"/>
      <c r="AO160" s="44"/>
      <c r="AP160" s="114"/>
      <c r="AQ160" s="83"/>
      <c r="AR160" s="83"/>
      <c r="AS160" s="83"/>
      <c r="AT160" s="83"/>
      <c r="AU160" s="83"/>
      <c r="AV160" s="83"/>
      <c r="AW160" s="83"/>
      <c r="AX160" s="83"/>
      <c r="AY160" s="83"/>
      <c r="AZ160" s="83"/>
      <c r="BA160" s="83"/>
      <c r="BB160" s="83"/>
    </row>
    <row r="161">
      <c r="A161" s="101"/>
      <c r="B161" s="298"/>
      <c r="C161" s="42"/>
      <c r="D161" s="42"/>
      <c r="E161" s="42"/>
      <c r="F161" s="299"/>
      <c r="G161" s="300"/>
      <c r="H161" s="42"/>
      <c r="I161" s="299"/>
      <c r="J161" s="301" t="str">
        <f t="array" ref="J161">IF(B161="","", INDEX(Ingredients!G:G, MATCH(B161, Ingredients!B:B,0)))</f>
        <v/>
      </c>
      <c r="K161" s="42"/>
      <c r="L161" s="299"/>
      <c r="M161" s="301" t="str">
        <f t="array" ref="M161">IF(B161="","", INDEX(Ingredients!H:H, MATCH(B161, Ingredients!B:B,0)))</f>
        <v/>
      </c>
      <c r="N161" s="42"/>
      <c r="O161" s="42"/>
      <c r="P161" s="299"/>
      <c r="Q161" s="302" t="str">
        <f t="shared" si="1"/>
        <v/>
      </c>
      <c r="R161" s="42"/>
      <c r="S161" s="42"/>
      <c r="T161" s="44"/>
      <c r="U161" s="114"/>
      <c r="V161" s="101"/>
      <c r="W161" s="298"/>
      <c r="X161" s="42"/>
      <c r="Y161" s="42"/>
      <c r="Z161" s="42"/>
      <c r="AA161" s="299"/>
      <c r="AB161" s="300"/>
      <c r="AC161" s="42"/>
      <c r="AD161" s="299"/>
      <c r="AE161" s="301" t="str">
        <f t="array" ref="AE161">IF(W161="","", INDEX(Other!G:G, MATCH(W161, Other!B:B,0)))</f>
        <v/>
      </c>
      <c r="AF161" s="42"/>
      <c r="AG161" s="299"/>
      <c r="AH161" s="301" t="str">
        <f t="array" ref="AH161">IF(W161="","", INDEX(Other!H:H, MATCH(W161, Other!B:B,0)))</f>
        <v/>
      </c>
      <c r="AI161" s="42"/>
      <c r="AJ161" s="42"/>
      <c r="AK161" s="299"/>
      <c r="AL161" s="301" t="str">
        <f t="shared" si="2"/>
        <v/>
      </c>
      <c r="AM161" s="42"/>
      <c r="AN161" s="42"/>
      <c r="AO161" s="44"/>
      <c r="AP161" s="114"/>
      <c r="AQ161" s="83"/>
      <c r="AR161" s="83"/>
      <c r="AS161" s="83"/>
      <c r="AT161" s="83"/>
      <c r="AU161" s="83"/>
      <c r="AV161" s="83"/>
      <c r="AW161" s="83"/>
      <c r="AX161" s="83"/>
      <c r="AY161" s="83"/>
      <c r="AZ161" s="83"/>
      <c r="BA161" s="83"/>
      <c r="BB161" s="83"/>
    </row>
    <row r="162">
      <c r="A162" s="101"/>
      <c r="B162" s="298"/>
      <c r="C162" s="42"/>
      <c r="D162" s="42"/>
      <c r="E162" s="42"/>
      <c r="F162" s="299"/>
      <c r="G162" s="300"/>
      <c r="H162" s="42"/>
      <c r="I162" s="299"/>
      <c r="J162" s="301" t="str">
        <f t="array" ref="J162">IF(B162="","", INDEX(Ingredients!G:G, MATCH(B162, Ingredients!B:B,0)))</f>
        <v/>
      </c>
      <c r="K162" s="42"/>
      <c r="L162" s="299"/>
      <c r="M162" s="301" t="str">
        <f t="array" ref="M162">IF(B162="","", INDEX(Ingredients!H:H, MATCH(B162, Ingredients!B:B,0)))</f>
        <v/>
      </c>
      <c r="N162" s="42"/>
      <c r="O162" s="42"/>
      <c r="P162" s="299"/>
      <c r="Q162" s="302" t="str">
        <f t="shared" si="1"/>
        <v/>
      </c>
      <c r="R162" s="42"/>
      <c r="S162" s="42"/>
      <c r="T162" s="44"/>
      <c r="U162" s="114"/>
      <c r="V162" s="101"/>
      <c r="W162" s="298"/>
      <c r="X162" s="42"/>
      <c r="Y162" s="42"/>
      <c r="Z162" s="42"/>
      <c r="AA162" s="299"/>
      <c r="AB162" s="300"/>
      <c r="AC162" s="42"/>
      <c r="AD162" s="299"/>
      <c r="AE162" s="301" t="str">
        <f t="array" ref="AE162">IF(W162="","", INDEX(Other!G:G, MATCH(W162, Other!B:B,0)))</f>
        <v/>
      </c>
      <c r="AF162" s="42"/>
      <c r="AG162" s="299"/>
      <c r="AH162" s="301" t="str">
        <f t="array" ref="AH162">IF(W162="","", INDEX(Other!H:H, MATCH(W162, Other!B:B,0)))</f>
        <v/>
      </c>
      <c r="AI162" s="42"/>
      <c r="AJ162" s="42"/>
      <c r="AK162" s="299"/>
      <c r="AL162" s="301" t="str">
        <f t="shared" si="2"/>
        <v/>
      </c>
      <c r="AM162" s="42"/>
      <c r="AN162" s="42"/>
      <c r="AO162" s="44"/>
      <c r="AP162" s="114"/>
      <c r="AQ162" s="83"/>
      <c r="AR162" s="83"/>
      <c r="AS162" s="83"/>
      <c r="AT162" s="83"/>
      <c r="AU162" s="83"/>
      <c r="AV162" s="83"/>
      <c r="AW162" s="83"/>
      <c r="AX162" s="83"/>
      <c r="AY162" s="83"/>
      <c r="AZ162" s="83"/>
      <c r="BA162" s="83"/>
      <c r="BB162" s="83"/>
    </row>
    <row r="163">
      <c r="A163" s="101"/>
      <c r="B163" s="298"/>
      <c r="C163" s="42"/>
      <c r="D163" s="42"/>
      <c r="E163" s="42"/>
      <c r="F163" s="299"/>
      <c r="G163" s="300"/>
      <c r="H163" s="42"/>
      <c r="I163" s="299"/>
      <c r="J163" s="301" t="str">
        <f t="array" ref="J163">IF(B163="","", INDEX(Ingredients!G:G, MATCH(B163, Ingredients!B:B,0)))</f>
        <v/>
      </c>
      <c r="K163" s="42"/>
      <c r="L163" s="299"/>
      <c r="M163" s="301" t="str">
        <f t="array" ref="M163">IF(B163="","", INDEX(Ingredients!H:H, MATCH(B163, Ingredients!B:B,0)))</f>
        <v/>
      </c>
      <c r="N163" s="42"/>
      <c r="O163" s="42"/>
      <c r="P163" s="299"/>
      <c r="Q163" s="302" t="str">
        <f t="shared" si="1"/>
        <v/>
      </c>
      <c r="R163" s="42"/>
      <c r="S163" s="42"/>
      <c r="T163" s="44"/>
      <c r="U163" s="114"/>
      <c r="V163" s="101"/>
      <c r="W163" s="298"/>
      <c r="X163" s="42"/>
      <c r="Y163" s="42"/>
      <c r="Z163" s="42"/>
      <c r="AA163" s="299"/>
      <c r="AB163" s="300"/>
      <c r="AC163" s="42"/>
      <c r="AD163" s="299"/>
      <c r="AE163" s="301" t="str">
        <f t="array" ref="AE163">IF(W163="","", INDEX(Other!G:G, MATCH(W163, Other!B:B,0)))</f>
        <v/>
      </c>
      <c r="AF163" s="42"/>
      <c r="AG163" s="299"/>
      <c r="AH163" s="301" t="str">
        <f t="array" ref="AH163">IF(W163="","", INDEX(Other!H:H, MATCH(W163, Other!B:B,0)))</f>
        <v/>
      </c>
      <c r="AI163" s="42"/>
      <c r="AJ163" s="42"/>
      <c r="AK163" s="299"/>
      <c r="AL163" s="301" t="str">
        <f t="shared" si="2"/>
        <v/>
      </c>
      <c r="AM163" s="42"/>
      <c r="AN163" s="42"/>
      <c r="AO163" s="44"/>
      <c r="AP163" s="114"/>
      <c r="AQ163" s="83"/>
      <c r="AR163" s="83"/>
      <c r="AS163" s="83"/>
      <c r="AT163" s="83"/>
      <c r="AU163" s="83"/>
      <c r="AV163" s="83"/>
      <c r="AW163" s="83"/>
      <c r="AX163" s="83"/>
      <c r="AY163" s="83"/>
      <c r="AZ163" s="83"/>
      <c r="BA163" s="83"/>
      <c r="BB163" s="83"/>
    </row>
    <row r="164">
      <c r="A164" s="101"/>
      <c r="B164" s="298"/>
      <c r="C164" s="42"/>
      <c r="D164" s="42"/>
      <c r="E164" s="42"/>
      <c r="F164" s="299"/>
      <c r="G164" s="300"/>
      <c r="H164" s="42"/>
      <c r="I164" s="299"/>
      <c r="J164" s="301" t="str">
        <f t="array" ref="J164">IF(B164="","", INDEX(Ingredients!G:G, MATCH(B164, Ingredients!B:B,0)))</f>
        <v/>
      </c>
      <c r="K164" s="42"/>
      <c r="L164" s="299"/>
      <c r="M164" s="301" t="str">
        <f t="array" ref="M164">IF(B164="","", INDEX(Ingredients!H:H, MATCH(B164, Ingredients!B:B,0)))</f>
        <v/>
      </c>
      <c r="N164" s="42"/>
      <c r="O164" s="42"/>
      <c r="P164" s="299"/>
      <c r="Q164" s="302" t="str">
        <f t="shared" si="1"/>
        <v/>
      </c>
      <c r="R164" s="42"/>
      <c r="S164" s="42"/>
      <c r="T164" s="44"/>
      <c r="U164" s="114"/>
      <c r="V164" s="101"/>
      <c r="W164" s="298"/>
      <c r="X164" s="42"/>
      <c r="Y164" s="42"/>
      <c r="Z164" s="42"/>
      <c r="AA164" s="299"/>
      <c r="AB164" s="300"/>
      <c r="AC164" s="42"/>
      <c r="AD164" s="299"/>
      <c r="AE164" s="301" t="str">
        <f t="array" ref="AE164">IF(W164="","", INDEX(Other!G:G, MATCH(W164, Other!B:B,0)))</f>
        <v/>
      </c>
      <c r="AF164" s="42"/>
      <c r="AG164" s="299"/>
      <c r="AH164" s="301" t="str">
        <f t="array" ref="AH164">IF(W164="","", INDEX(Other!H:H, MATCH(W164, Other!B:B,0)))</f>
        <v/>
      </c>
      <c r="AI164" s="42"/>
      <c r="AJ164" s="42"/>
      <c r="AK164" s="299"/>
      <c r="AL164" s="301" t="str">
        <f t="shared" si="2"/>
        <v/>
      </c>
      <c r="AM164" s="42"/>
      <c r="AN164" s="42"/>
      <c r="AO164" s="44"/>
      <c r="AP164" s="114"/>
      <c r="AQ164" s="83"/>
      <c r="AR164" s="83"/>
      <c r="AS164" s="83"/>
      <c r="AT164" s="83"/>
      <c r="AU164" s="83"/>
      <c r="AV164" s="83"/>
      <c r="AW164" s="83"/>
      <c r="AX164" s="83"/>
      <c r="AY164" s="83"/>
      <c r="AZ164" s="83"/>
      <c r="BA164" s="83"/>
      <c r="BB164" s="83"/>
    </row>
    <row r="165">
      <c r="A165" s="101"/>
      <c r="B165" s="298"/>
      <c r="C165" s="42"/>
      <c r="D165" s="42"/>
      <c r="E165" s="42"/>
      <c r="F165" s="299"/>
      <c r="G165" s="300"/>
      <c r="H165" s="42"/>
      <c r="I165" s="299"/>
      <c r="J165" s="301" t="str">
        <f t="array" ref="J165">IF(B165="","", INDEX(Ingredients!G:G, MATCH(B165, Ingredients!B:B,0)))</f>
        <v/>
      </c>
      <c r="K165" s="42"/>
      <c r="L165" s="299"/>
      <c r="M165" s="301" t="str">
        <f t="array" ref="M165">IF(B165="","", INDEX(Ingredients!H:H, MATCH(B165, Ingredients!B:B,0)))</f>
        <v/>
      </c>
      <c r="N165" s="42"/>
      <c r="O165" s="42"/>
      <c r="P165" s="299"/>
      <c r="Q165" s="302" t="str">
        <f t="shared" si="1"/>
        <v/>
      </c>
      <c r="R165" s="42"/>
      <c r="S165" s="42"/>
      <c r="T165" s="44"/>
      <c r="U165" s="114"/>
      <c r="V165" s="101"/>
      <c r="W165" s="298"/>
      <c r="X165" s="42"/>
      <c r="Y165" s="42"/>
      <c r="Z165" s="42"/>
      <c r="AA165" s="299"/>
      <c r="AB165" s="300"/>
      <c r="AC165" s="42"/>
      <c r="AD165" s="299"/>
      <c r="AE165" s="301" t="str">
        <f t="array" ref="AE165">IF(W165="","", INDEX(Other!G:G, MATCH(W165, Other!B:B,0)))</f>
        <v/>
      </c>
      <c r="AF165" s="42"/>
      <c r="AG165" s="299"/>
      <c r="AH165" s="301" t="str">
        <f t="array" ref="AH165">IF(W165="","", INDEX(Other!H:H, MATCH(W165, Other!B:B,0)))</f>
        <v/>
      </c>
      <c r="AI165" s="42"/>
      <c r="AJ165" s="42"/>
      <c r="AK165" s="299"/>
      <c r="AL165" s="301" t="str">
        <f t="shared" si="2"/>
        <v/>
      </c>
      <c r="AM165" s="42"/>
      <c r="AN165" s="42"/>
      <c r="AO165" s="44"/>
      <c r="AP165" s="114"/>
      <c r="AQ165" s="83"/>
      <c r="AR165" s="83"/>
      <c r="AS165" s="83"/>
      <c r="AT165" s="83"/>
      <c r="AU165" s="83"/>
      <c r="AV165" s="83"/>
      <c r="AW165" s="83"/>
      <c r="AX165" s="83"/>
      <c r="AY165" s="83"/>
      <c r="AZ165" s="83"/>
      <c r="BA165" s="83"/>
      <c r="BB165" s="83"/>
    </row>
    <row r="166">
      <c r="A166" s="101"/>
      <c r="B166" s="298"/>
      <c r="C166" s="42"/>
      <c r="D166" s="42"/>
      <c r="E166" s="42"/>
      <c r="F166" s="299"/>
      <c r="G166" s="300"/>
      <c r="H166" s="42"/>
      <c r="I166" s="299"/>
      <c r="J166" s="301" t="str">
        <f t="array" ref="J166">IF(B166="","", INDEX(Ingredients!G:G, MATCH(B166, Ingredients!B:B,0)))</f>
        <v/>
      </c>
      <c r="K166" s="42"/>
      <c r="L166" s="299"/>
      <c r="M166" s="301" t="str">
        <f t="array" ref="M166">IF(B166="","", INDEX(Ingredients!H:H, MATCH(B166, Ingredients!B:B,0)))</f>
        <v/>
      </c>
      <c r="N166" s="42"/>
      <c r="O166" s="42"/>
      <c r="P166" s="299"/>
      <c r="Q166" s="302" t="str">
        <f t="shared" si="1"/>
        <v/>
      </c>
      <c r="R166" s="42"/>
      <c r="S166" s="42"/>
      <c r="T166" s="44"/>
      <c r="U166" s="114"/>
      <c r="V166" s="101"/>
      <c r="W166" s="298"/>
      <c r="X166" s="42"/>
      <c r="Y166" s="42"/>
      <c r="Z166" s="42"/>
      <c r="AA166" s="299"/>
      <c r="AB166" s="300"/>
      <c r="AC166" s="42"/>
      <c r="AD166" s="299"/>
      <c r="AE166" s="301" t="str">
        <f t="array" ref="AE166">IF(W166="","", INDEX(Other!G:G, MATCH(W166, Other!B:B,0)))</f>
        <v/>
      </c>
      <c r="AF166" s="42"/>
      <c r="AG166" s="299"/>
      <c r="AH166" s="301" t="str">
        <f t="array" ref="AH166">IF(W166="","", INDEX(Other!H:H, MATCH(W166, Other!B:B,0)))</f>
        <v/>
      </c>
      <c r="AI166" s="42"/>
      <c r="AJ166" s="42"/>
      <c r="AK166" s="299"/>
      <c r="AL166" s="301" t="str">
        <f t="shared" si="2"/>
        <v/>
      </c>
      <c r="AM166" s="42"/>
      <c r="AN166" s="42"/>
      <c r="AO166" s="44"/>
      <c r="AP166" s="114"/>
      <c r="AQ166" s="83"/>
      <c r="AR166" s="83"/>
      <c r="AS166" s="83"/>
      <c r="AT166" s="83"/>
      <c r="AU166" s="83"/>
      <c r="AV166" s="83"/>
      <c r="AW166" s="83"/>
      <c r="AX166" s="83"/>
      <c r="AY166" s="83"/>
      <c r="AZ166" s="83"/>
      <c r="BA166" s="83"/>
      <c r="BB166" s="83"/>
    </row>
    <row r="167">
      <c r="A167" s="101"/>
      <c r="B167" s="298"/>
      <c r="C167" s="42"/>
      <c r="D167" s="42"/>
      <c r="E167" s="42"/>
      <c r="F167" s="299"/>
      <c r="G167" s="300"/>
      <c r="H167" s="42"/>
      <c r="I167" s="299"/>
      <c r="J167" s="301" t="str">
        <f t="array" ref="J167">IF(B167="","", INDEX(Ingredients!G:G, MATCH(B167, Ingredients!B:B,0)))</f>
        <v/>
      </c>
      <c r="K167" s="42"/>
      <c r="L167" s="299"/>
      <c r="M167" s="301" t="str">
        <f t="array" ref="M167">IF(B167="","", INDEX(Ingredients!H:H, MATCH(B167, Ingredients!B:B,0)))</f>
        <v/>
      </c>
      <c r="N167" s="42"/>
      <c r="O167" s="42"/>
      <c r="P167" s="299"/>
      <c r="Q167" s="302" t="str">
        <f t="shared" si="1"/>
        <v/>
      </c>
      <c r="R167" s="42"/>
      <c r="S167" s="42"/>
      <c r="T167" s="44"/>
      <c r="U167" s="114"/>
      <c r="V167" s="101"/>
      <c r="W167" s="298"/>
      <c r="X167" s="42"/>
      <c r="Y167" s="42"/>
      <c r="Z167" s="42"/>
      <c r="AA167" s="299"/>
      <c r="AB167" s="300"/>
      <c r="AC167" s="42"/>
      <c r="AD167" s="299"/>
      <c r="AE167" s="301" t="str">
        <f t="array" ref="AE167">IF(W167="","", INDEX(Other!G:G, MATCH(W167, Other!B:B,0)))</f>
        <v/>
      </c>
      <c r="AF167" s="42"/>
      <c r="AG167" s="299"/>
      <c r="AH167" s="301" t="str">
        <f t="array" ref="AH167">IF(W167="","", INDEX(Other!H:H, MATCH(W167, Other!B:B,0)))</f>
        <v/>
      </c>
      <c r="AI167" s="42"/>
      <c r="AJ167" s="42"/>
      <c r="AK167" s="299"/>
      <c r="AL167" s="301" t="str">
        <f t="shared" si="2"/>
        <v/>
      </c>
      <c r="AM167" s="42"/>
      <c r="AN167" s="42"/>
      <c r="AO167" s="44"/>
      <c r="AP167" s="114"/>
      <c r="AQ167" s="83"/>
      <c r="AR167" s="83"/>
      <c r="AS167" s="83"/>
      <c r="AT167" s="83"/>
      <c r="AU167" s="83"/>
      <c r="AV167" s="83"/>
      <c r="AW167" s="83"/>
      <c r="AX167" s="83"/>
      <c r="AY167" s="83"/>
      <c r="AZ167" s="83"/>
      <c r="BA167" s="83"/>
      <c r="BB167" s="83"/>
    </row>
    <row r="168">
      <c r="A168" s="101"/>
      <c r="B168" s="298"/>
      <c r="C168" s="42"/>
      <c r="D168" s="42"/>
      <c r="E168" s="42"/>
      <c r="F168" s="299"/>
      <c r="G168" s="300"/>
      <c r="H168" s="42"/>
      <c r="I168" s="299"/>
      <c r="J168" s="301" t="str">
        <f t="array" ref="J168">IF(B168="","", INDEX(Ingredients!G:G, MATCH(B168, Ingredients!B:B,0)))</f>
        <v/>
      </c>
      <c r="K168" s="42"/>
      <c r="L168" s="299"/>
      <c r="M168" s="301" t="str">
        <f t="array" ref="M168">IF(B168="","", INDEX(Ingredients!H:H, MATCH(B168, Ingredients!B:B,0)))</f>
        <v/>
      </c>
      <c r="N168" s="42"/>
      <c r="O168" s="42"/>
      <c r="P168" s="299"/>
      <c r="Q168" s="302" t="str">
        <f t="shared" si="1"/>
        <v/>
      </c>
      <c r="R168" s="42"/>
      <c r="S168" s="42"/>
      <c r="T168" s="44"/>
      <c r="U168" s="114"/>
      <c r="V168" s="101"/>
      <c r="W168" s="298"/>
      <c r="X168" s="42"/>
      <c r="Y168" s="42"/>
      <c r="Z168" s="42"/>
      <c r="AA168" s="299"/>
      <c r="AB168" s="300"/>
      <c r="AC168" s="42"/>
      <c r="AD168" s="299"/>
      <c r="AE168" s="301" t="str">
        <f t="array" ref="AE168">IF(W168="","", INDEX(Other!G:G, MATCH(W168, Other!B:B,0)))</f>
        <v/>
      </c>
      <c r="AF168" s="42"/>
      <c r="AG168" s="299"/>
      <c r="AH168" s="301" t="str">
        <f t="array" ref="AH168">IF(W168="","", INDEX(Other!H:H, MATCH(W168, Other!B:B,0)))</f>
        <v/>
      </c>
      <c r="AI168" s="42"/>
      <c r="AJ168" s="42"/>
      <c r="AK168" s="299"/>
      <c r="AL168" s="301" t="str">
        <f t="shared" si="2"/>
        <v/>
      </c>
      <c r="AM168" s="42"/>
      <c r="AN168" s="42"/>
      <c r="AO168" s="44"/>
      <c r="AP168" s="114"/>
      <c r="AQ168" s="83"/>
      <c r="AR168" s="83"/>
      <c r="AS168" s="83"/>
      <c r="AT168" s="83"/>
      <c r="AU168" s="83"/>
      <c r="AV168" s="83"/>
      <c r="AW168" s="83"/>
      <c r="AX168" s="83"/>
      <c r="AY168" s="83"/>
      <c r="AZ168" s="83"/>
      <c r="BA168" s="83"/>
      <c r="BB168" s="83"/>
    </row>
    <row r="169">
      <c r="A169" s="101"/>
      <c r="B169" s="298"/>
      <c r="C169" s="42"/>
      <c r="D169" s="42"/>
      <c r="E169" s="42"/>
      <c r="F169" s="299"/>
      <c r="G169" s="300"/>
      <c r="H169" s="42"/>
      <c r="I169" s="299"/>
      <c r="J169" s="301" t="str">
        <f t="array" ref="J169">IF(B169="","", INDEX(Ingredients!G:G, MATCH(B169, Ingredients!B:B,0)))</f>
        <v/>
      </c>
      <c r="K169" s="42"/>
      <c r="L169" s="299"/>
      <c r="M169" s="301" t="str">
        <f t="array" ref="M169">IF(B169="","", INDEX(Ingredients!H:H, MATCH(B169, Ingredients!B:B,0)))</f>
        <v/>
      </c>
      <c r="N169" s="42"/>
      <c r="O169" s="42"/>
      <c r="P169" s="299"/>
      <c r="Q169" s="302" t="str">
        <f t="shared" si="1"/>
        <v/>
      </c>
      <c r="R169" s="42"/>
      <c r="S169" s="42"/>
      <c r="T169" s="44"/>
      <c r="U169" s="114"/>
      <c r="V169" s="101"/>
      <c r="W169" s="298"/>
      <c r="X169" s="42"/>
      <c r="Y169" s="42"/>
      <c r="Z169" s="42"/>
      <c r="AA169" s="299"/>
      <c r="AB169" s="300"/>
      <c r="AC169" s="42"/>
      <c r="AD169" s="299"/>
      <c r="AE169" s="301" t="str">
        <f t="array" ref="AE169">IF(W169="","", INDEX(Other!G:G, MATCH(W169, Other!B:B,0)))</f>
        <v/>
      </c>
      <c r="AF169" s="42"/>
      <c r="AG169" s="299"/>
      <c r="AH169" s="301" t="str">
        <f t="array" ref="AH169">IF(W169="","", INDEX(Other!H:H, MATCH(W169, Other!B:B,0)))</f>
        <v/>
      </c>
      <c r="AI169" s="42"/>
      <c r="AJ169" s="42"/>
      <c r="AK169" s="299"/>
      <c r="AL169" s="301" t="str">
        <f t="shared" si="2"/>
        <v/>
      </c>
      <c r="AM169" s="42"/>
      <c r="AN169" s="42"/>
      <c r="AO169" s="44"/>
      <c r="AP169" s="114"/>
      <c r="AQ169" s="83"/>
      <c r="AR169" s="83"/>
      <c r="AS169" s="83"/>
      <c r="AT169" s="83"/>
      <c r="AU169" s="83"/>
      <c r="AV169" s="83"/>
      <c r="AW169" s="83"/>
      <c r="AX169" s="83"/>
      <c r="AY169" s="83"/>
      <c r="AZ169" s="83"/>
      <c r="BA169" s="83"/>
      <c r="BB169" s="83"/>
    </row>
    <row r="170">
      <c r="A170" s="101"/>
      <c r="B170" s="298"/>
      <c r="C170" s="42"/>
      <c r="D170" s="42"/>
      <c r="E170" s="42"/>
      <c r="F170" s="299"/>
      <c r="G170" s="300"/>
      <c r="H170" s="42"/>
      <c r="I170" s="299"/>
      <c r="J170" s="301" t="str">
        <f t="array" ref="J170">IF(B170="","", INDEX(Ingredients!G:G, MATCH(B170, Ingredients!B:B,0)))</f>
        <v/>
      </c>
      <c r="K170" s="42"/>
      <c r="L170" s="299"/>
      <c r="M170" s="301" t="str">
        <f t="array" ref="M170">IF(B170="","", INDEX(Ingredients!H:H, MATCH(B170, Ingredients!B:B,0)))</f>
        <v/>
      </c>
      <c r="N170" s="42"/>
      <c r="O170" s="42"/>
      <c r="P170" s="299"/>
      <c r="Q170" s="302" t="str">
        <f t="shared" si="1"/>
        <v/>
      </c>
      <c r="R170" s="42"/>
      <c r="S170" s="42"/>
      <c r="T170" s="44"/>
      <c r="U170" s="114"/>
      <c r="V170" s="101"/>
      <c r="W170" s="298"/>
      <c r="X170" s="42"/>
      <c r="Y170" s="42"/>
      <c r="Z170" s="42"/>
      <c r="AA170" s="299"/>
      <c r="AB170" s="300"/>
      <c r="AC170" s="42"/>
      <c r="AD170" s="299"/>
      <c r="AE170" s="301" t="str">
        <f t="array" ref="AE170">IF(W170="","", INDEX(Other!G:G, MATCH(W170, Other!B:B,0)))</f>
        <v/>
      </c>
      <c r="AF170" s="42"/>
      <c r="AG170" s="299"/>
      <c r="AH170" s="301" t="str">
        <f t="array" ref="AH170">IF(W170="","", INDEX(Other!H:H, MATCH(W170, Other!B:B,0)))</f>
        <v/>
      </c>
      <c r="AI170" s="42"/>
      <c r="AJ170" s="42"/>
      <c r="AK170" s="299"/>
      <c r="AL170" s="301" t="str">
        <f t="shared" si="2"/>
        <v/>
      </c>
      <c r="AM170" s="42"/>
      <c r="AN170" s="42"/>
      <c r="AO170" s="44"/>
      <c r="AP170" s="114"/>
      <c r="AQ170" s="83"/>
      <c r="AR170" s="83"/>
      <c r="AS170" s="83"/>
      <c r="AT170" s="83"/>
      <c r="AU170" s="83"/>
      <c r="AV170" s="83"/>
      <c r="AW170" s="83"/>
      <c r="AX170" s="83"/>
      <c r="AY170" s="83"/>
      <c r="AZ170" s="83"/>
      <c r="BA170" s="83"/>
      <c r="BB170" s="83"/>
    </row>
    <row r="171">
      <c r="A171" s="101"/>
      <c r="B171" s="298"/>
      <c r="C171" s="42"/>
      <c r="D171" s="42"/>
      <c r="E171" s="42"/>
      <c r="F171" s="299"/>
      <c r="G171" s="300"/>
      <c r="H171" s="42"/>
      <c r="I171" s="299"/>
      <c r="J171" s="301" t="str">
        <f t="array" ref="J171">IF(B171="","", INDEX(Ingredients!G:G, MATCH(B171, Ingredients!B:B,0)))</f>
        <v/>
      </c>
      <c r="K171" s="42"/>
      <c r="L171" s="299"/>
      <c r="M171" s="301" t="str">
        <f t="array" ref="M171">IF(B171="","", INDEX(Ingredients!H:H, MATCH(B171, Ingredients!B:B,0)))</f>
        <v/>
      </c>
      <c r="N171" s="42"/>
      <c r="O171" s="42"/>
      <c r="P171" s="299"/>
      <c r="Q171" s="302" t="str">
        <f t="shared" si="1"/>
        <v/>
      </c>
      <c r="R171" s="42"/>
      <c r="S171" s="42"/>
      <c r="T171" s="44"/>
      <c r="U171" s="114"/>
      <c r="V171" s="101"/>
      <c r="W171" s="298"/>
      <c r="X171" s="42"/>
      <c r="Y171" s="42"/>
      <c r="Z171" s="42"/>
      <c r="AA171" s="299"/>
      <c r="AB171" s="300"/>
      <c r="AC171" s="42"/>
      <c r="AD171" s="299"/>
      <c r="AE171" s="301" t="str">
        <f t="array" ref="AE171">IF(W171="","", INDEX(Other!G:G, MATCH(W171, Other!B:B,0)))</f>
        <v/>
      </c>
      <c r="AF171" s="42"/>
      <c r="AG171" s="299"/>
      <c r="AH171" s="301" t="str">
        <f t="array" ref="AH171">IF(W171="","", INDEX(Other!H:H, MATCH(W171, Other!B:B,0)))</f>
        <v/>
      </c>
      <c r="AI171" s="42"/>
      <c r="AJ171" s="42"/>
      <c r="AK171" s="299"/>
      <c r="AL171" s="301" t="str">
        <f t="shared" si="2"/>
        <v/>
      </c>
      <c r="AM171" s="42"/>
      <c r="AN171" s="42"/>
      <c r="AO171" s="44"/>
      <c r="AP171" s="114"/>
      <c r="AQ171" s="83"/>
      <c r="AR171" s="83"/>
      <c r="AS171" s="83"/>
      <c r="AT171" s="83"/>
      <c r="AU171" s="83"/>
      <c r="AV171" s="83"/>
      <c r="AW171" s="83"/>
      <c r="AX171" s="83"/>
      <c r="AY171" s="83"/>
      <c r="AZ171" s="83"/>
      <c r="BA171" s="83"/>
      <c r="BB171" s="83"/>
    </row>
    <row r="172">
      <c r="A172" s="101"/>
      <c r="B172" s="298"/>
      <c r="C172" s="42"/>
      <c r="D172" s="42"/>
      <c r="E172" s="42"/>
      <c r="F172" s="299"/>
      <c r="G172" s="300"/>
      <c r="H172" s="42"/>
      <c r="I172" s="299"/>
      <c r="J172" s="301" t="str">
        <f t="array" ref="J172">IF(B172="","", INDEX(Ingredients!G:G, MATCH(B172, Ingredients!B:B,0)))</f>
        <v/>
      </c>
      <c r="K172" s="42"/>
      <c r="L172" s="299"/>
      <c r="M172" s="301" t="str">
        <f t="array" ref="M172">IF(B172="","", INDEX(Ingredients!H:H, MATCH(B172, Ingredients!B:B,0)))</f>
        <v/>
      </c>
      <c r="N172" s="42"/>
      <c r="O172" s="42"/>
      <c r="P172" s="299"/>
      <c r="Q172" s="302" t="str">
        <f t="shared" si="1"/>
        <v/>
      </c>
      <c r="R172" s="42"/>
      <c r="S172" s="42"/>
      <c r="T172" s="44"/>
      <c r="U172" s="114"/>
      <c r="V172" s="101"/>
      <c r="W172" s="298"/>
      <c r="X172" s="42"/>
      <c r="Y172" s="42"/>
      <c r="Z172" s="42"/>
      <c r="AA172" s="299"/>
      <c r="AB172" s="300"/>
      <c r="AC172" s="42"/>
      <c r="AD172" s="299"/>
      <c r="AE172" s="301" t="str">
        <f t="array" ref="AE172">IF(W172="","", INDEX(Other!G:G, MATCH(W172, Other!B:B,0)))</f>
        <v/>
      </c>
      <c r="AF172" s="42"/>
      <c r="AG172" s="299"/>
      <c r="AH172" s="301" t="str">
        <f t="array" ref="AH172">IF(W172="","", INDEX(Other!H:H, MATCH(W172, Other!B:B,0)))</f>
        <v/>
      </c>
      <c r="AI172" s="42"/>
      <c r="AJ172" s="42"/>
      <c r="AK172" s="299"/>
      <c r="AL172" s="301" t="str">
        <f t="shared" si="2"/>
        <v/>
      </c>
      <c r="AM172" s="42"/>
      <c r="AN172" s="42"/>
      <c r="AO172" s="44"/>
      <c r="AP172" s="114"/>
      <c r="AQ172" s="83"/>
      <c r="AR172" s="83"/>
      <c r="AS172" s="83"/>
      <c r="AT172" s="83"/>
      <c r="AU172" s="83"/>
      <c r="AV172" s="83"/>
      <c r="AW172" s="83"/>
      <c r="AX172" s="83"/>
      <c r="AY172" s="83"/>
      <c r="AZ172" s="83"/>
      <c r="BA172" s="83"/>
      <c r="BB172" s="83"/>
    </row>
    <row r="173">
      <c r="A173" s="101"/>
      <c r="B173" s="298"/>
      <c r="C173" s="42"/>
      <c r="D173" s="42"/>
      <c r="E173" s="42"/>
      <c r="F173" s="299"/>
      <c r="G173" s="300"/>
      <c r="H173" s="42"/>
      <c r="I173" s="299"/>
      <c r="J173" s="301" t="str">
        <f t="array" ref="J173">IF(B173="","", INDEX(Ingredients!G:G, MATCH(B173, Ingredients!B:B,0)))</f>
        <v/>
      </c>
      <c r="K173" s="42"/>
      <c r="L173" s="299"/>
      <c r="M173" s="301" t="str">
        <f t="array" ref="M173">IF(B173="","", INDEX(Ingredients!H:H, MATCH(B173, Ingredients!B:B,0)))</f>
        <v/>
      </c>
      <c r="N173" s="42"/>
      <c r="O173" s="42"/>
      <c r="P173" s="299"/>
      <c r="Q173" s="302" t="str">
        <f t="shared" si="1"/>
        <v/>
      </c>
      <c r="R173" s="42"/>
      <c r="S173" s="42"/>
      <c r="T173" s="44"/>
      <c r="U173" s="114"/>
      <c r="V173" s="101"/>
      <c r="W173" s="298"/>
      <c r="X173" s="42"/>
      <c r="Y173" s="42"/>
      <c r="Z173" s="42"/>
      <c r="AA173" s="299"/>
      <c r="AB173" s="300"/>
      <c r="AC173" s="42"/>
      <c r="AD173" s="299"/>
      <c r="AE173" s="301" t="str">
        <f t="array" ref="AE173">IF(W173="","", INDEX(Other!G:G, MATCH(W173, Other!B:B,0)))</f>
        <v/>
      </c>
      <c r="AF173" s="42"/>
      <c r="AG173" s="299"/>
      <c r="AH173" s="301" t="str">
        <f t="array" ref="AH173">IF(W173="","", INDEX(Other!H:H, MATCH(W173, Other!B:B,0)))</f>
        <v/>
      </c>
      <c r="AI173" s="42"/>
      <c r="AJ173" s="42"/>
      <c r="AK173" s="299"/>
      <c r="AL173" s="301" t="str">
        <f t="shared" si="2"/>
        <v/>
      </c>
      <c r="AM173" s="42"/>
      <c r="AN173" s="42"/>
      <c r="AO173" s="44"/>
      <c r="AP173" s="114"/>
      <c r="AQ173" s="83"/>
      <c r="AR173" s="83"/>
      <c r="AS173" s="83"/>
      <c r="AT173" s="83"/>
      <c r="AU173" s="83"/>
      <c r="AV173" s="83"/>
      <c r="AW173" s="83"/>
      <c r="AX173" s="83"/>
      <c r="AY173" s="83"/>
      <c r="AZ173" s="83"/>
      <c r="BA173" s="83"/>
      <c r="BB173" s="83"/>
    </row>
    <row r="174">
      <c r="A174" s="101"/>
      <c r="B174" s="298"/>
      <c r="C174" s="42"/>
      <c r="D174" s="42"/>
      <c r="E174" s="42"/>
      <c r="F174" s="299"/>
      <c r="G174" s="300"/>
      <c r="H174" s="42"/>
      <c r="I174" s="299"/>
      <c r="J174" s="301" t="str">
        <f t="array" ref="J174">IF(B174="","", INDEX(Ingredients!G:G, MATCH(B174, Ingredients!B:B,0)))</f>
        <v/>
      </c>
      <c r="K174" s="42"/>
      <c r="L174" s="299"/>
      <c r="M174" s="301" t="str">
        <f t="array" ref="M174">IF(B174="","", INDEX(Ingredients!H:H, MATCH(B174, Ingredients!B:B,0)))</f>
        <v/>
      </c>
      <c r="N174" s="42"/>
      <c r="O174" s="42"/>
      <c r="P174" s="299"/>
      <c r="Q174" s="302" t="str">
        <f t="shared" si="1"/>
        <v/>
      </c>
      <c r="R174" s="42"/>
      <c r="S174" s="42"/>
      <c r="T174" s="44"/>
      <c r="U174" s="114"/>
      <c r="V174" s="101"/>
      <c r="W174" s="298"/>
      <c r="X174" s="42"/>
      <c r="Y174" s="42"/>
      <c r="Z174" s="42"/>
      <c r="AA174" s="299"/>
      <c r="AB174" s="300"/>
      <c r="AC174" s="42"/>
      <c r="AD174" s="299"/>
      <c r="AE174" s="301" t="str">
        <f t="array" ref="AE174">IF(W174="","", INDEX(Other!G:G, MATCH(W174, Other!B:B,0)))</f>
        <v/>
      </c>
      <c r="AF174" s="42"/>
      <c r="AG174" s="299"/>
      <c r="AH174" s="301" t="str">
        <f t="array" ref="AH174">IF(W174="","", INDEX(Other!H:H, MATCH(W174, Other!B:B,0)))</f>
        <v/>
      </c>
      <c r="AI174" s="42"/>
      <c r="AJ174" s="42"/>
      <c r="AK174" s="299"/>
      <c r="AL174" s="301" t="str">
        <f t="shared" si="2"/>
        <v/>
      </c>
      <c r="AM174" s="42"/>
      <c r="AN174" s="42"/>
      <c r="AO174" s="44"/>
      <c r="AP174" s="114"/>
      <c r="AQ174" s="83"/>
      <c r="AR174" s="83"/>
      <c r="AS174" s="83"/>
      <c r="AT174" s="83"/>
      <c r="AU174" s="83"/>
      <c r="AV174" s="83"/>
      <c r="AW174" s="83"/>
      <c r="AX174" s="83"/>
      <c r="AY174" s="83"/>
      <c r="AZ174" s="83"/>
      <c r="BA174" s="83"/>
      <c r="BB174" s="83"/>
    </row>
    <row r="175">
      <c r="A175" s="101"/>
      <c r="B175" s="298"/>
      <c r="C175" s="42"/>
      <c r="D175" s="42"/>
      <c r="E175" s="42"/>
      <c r="F175" s="299"/>
      <c r="G175" s="300"/>
      <c r="H175" s="42"/>
      <c r="I175" s="299"/>
      <c r="J175" s="301" t="str">
        <f t="array" ref="J175">IF(B175="","", INDEX(Ingredients!G:G, MATCH(B175, Ingredients!B:B,0)))</f>
        <v/>
      </c>
      <c r="K175" s="42"/>
      <c r="L175" s="299"/>
      <c r="M175" s="301" t="str">
        <f t="array" ref="M175">IF(B175="","", INDEX(Ingredients!H:H, MATCH(B175, Ingredients!B:B,0)))</f>
        <v/>
      </c>
      <c r="N175" s="42"/>
      <c r="O175" s="42"/>
      <c r="P175" s="299"/>
      <c r="Q175" s="302" t="str">
        <f t="shared" si="1"/>
        <v/>
      </c>
      <c r="R175" s="42"/>
      <c r="S175" s="42"/>
      <c r="T175" s="44"/>
      <c r="U175" s="114"/>
      <c r="V175" s="101"/>
      <c r="W175" s="298"/>
      <c r="X175" s="42"/>
      <c r="Y175" s="42"/>
      <c r="Z175" s="42"/>
      <c r="AA175" s="299"/>
      <c r="AB175" s="300"/>
      <c r="AC175" s="42"/>
      <c r="AD175" s="299"/>
      <c r="AE175" s="301" t="str">
        <f t="array" ref="AE175">IF(W175="","", INDEX(Other!G:G, MATCH(W175, Other!B:B,0)))</f>
        <v/>
      </c>
      <c r="AF175" s="42"/>
      <c r="AG175" s="299"/>
      <c r="AH175" s="301" t="str">
        <f t="array" ref="AH175">IF(W175="","", INDEX(Other!H:H, MATCH(W175, Other!B:B,0)))</f>
        <v/>
      </c>
      <c r="AI175" s="42"/>
      <c r="AJ175" s="42"/>
      <c r="AK175" s="299"/>
      <c r="AL175" s="301" t="str">
        <f t="shared" si="2"/>
        <v/>
      </c>
      <c r="AM175" s="42"/>
      <c r="AN175" s="42"/>
      <c r="AO175" s="44"/>
      <c r="AP175" s="114"/>
      <c r="AQ175" s="83"/>
      <c r="AR175" s="83"/>
      <c r="AS175" s="83"/>
      <c r="AT175" s="83"/>
      <c r="AU175" s="83"/>
      <c r="AV175" s="83"/>
      <c r="AW175" s="83"/>
      <c r="AX175" s="83"/>
      <c r="AY175" s="83"/>
      <c r="AZ175" s="83"/>
      <c r="BA175" s="83"/>
      <c r="BB175" s="83"/>
    </row>
    <row r="176">
      <c r="A176" s="101"/>
      <c r="B176" s="298"/>
      <c r="C176" s="42"/>
      <c r="D176" s="42"/>
      <c r="E176" s="42"/>
      <c r="F176" s="299"/>
      <c r="G176" s="300"/>
      <c r="H176" s="42"/>
      <c r="I176" s="299"/>
      <c r="J176" s="301" t="str">
        <f t="array" ref="J176">IF(B176="","", INDEX(Ingredients!G:G, MATCH(B176, Ingredients!B:B,0)))</f>
        <v/>
      </c>
      <c r="K176" s="42"/>
      <c r="L176" s="299"/>
      <c r="M176" s="301" t="str">
        <f t="array" ref="M176">IF(B176="","", INDEX(Ingredients!H:H, MATCH(B176, Ingredients!B:B,0)))</f>
        <v/>
      </c>
      <c r="N176" s="42"/>
      <c r="O176" s="42"/>
      <c r="P176" s="299"/>
      <c r="Q176" s="302" t="str">
        <f t="shared" si="1"/>
        <v/>
      </c>
      <c r="R176" s="42"/>
      <c r="S176" s="42"/>
      <c r="T176" s="44"/>
      <c r="U176" s="114"/>
      <c r="V176" s="101"/>
      <c r="W176" s="298"/>
      <c r="X176" s="42"/>
      <c r="Y176" s="42"/>
      <c r="Z176" s="42"/>
      <c r="AA176" s="299"/>
      <c r="AB176" s="300"/>
      <c r="AC176" s="42"/>
      <c r="AD176" s="299"/>
      <c r="AE176" s="301" t="str">
        <f t="array" ref="AE176">IF(W176="","", INDEX(Other!G:G, MATCH(W176, Other!B:B,0)))</f>
        <v/>
      </c>
      <c r="AF176" s="42"/>
      <c r="AG176" s="299"/>
      <c r="AH176" s="301" t="str">
        <f t="array" ref="AH176">IF(W176="","", INDEX(Other!H:H, MATCH(W176, Other!B:B,0)))</f>
        <v/>
      </c>
      <c r="AI176" s="42"/>
      <c r="AJ176" s="42"/>
      <c r="AK176" s="299"/>
      <c r="AL176" s="301" t="str">
        <f t="shared" si="2"/>
        <v/>
      </c>
      <c r="AM176" s="42"/>
      <c r="AN176" s="42"/>
      <c r="AO176" s="44"/>
      <c r="AP176" s="114"/>
      <c r="AQ176" s="83"/>
      <c r="AR176" s="83"/>
      <c r="AS176" s="83"/>
      <c r="AT176" s="83"/>
      <c r="AU176" s="83"/>
      <c r="AV176" s="83"/>
      <c r="AW176" s="83"/>
      <c r="AX176" s="83"/>
      <c r="AY176" s="83"/>
      <c r="AZ176" s="83"/>
      <c r="BA176" s="83"/>
      <c r="BB176" s="83"/>
    </row>
    <row r="177">
      <c r="A177" s="101"/>
      <c r="B177" s="298"/>
      <c r="C177" s="42"/>
      <c r="D177" s="42"/>
      <c r="E177" s="42"/>
      <c r="F177" s="299"/>
      <c r="G177" s="300"/>
      <c r="H177" s="42"/>
      <c r="I177" s="299"/>
      <c r="J177" s="301" t="str">
        <f t="array" ref="J177">IF(B177="","", INDEX(Ingredients!G:G, MATCH(B177, Ingredients!B:B,0)))</f>
        <v/>
      </c>
      <c r="K177" s="42"/>
      <c r="L177" s="299"/>
      <c r="M177" s="301" t="str">
        <f t="array" ref="M177">IF(B177="","", INDEX(Ingredients!H:H, MATCH(B177, Ingredients!B:B,0)))</f>
        <v/>
      </c>
      <c r="N177" s="42"/>
      <c r="O177" s="42"/>
      <c r="P177" s="299"/>
      <c r="Q177" s="302" t="str">
        <f t="shared" si="1"/>
        <v/>
      </c>
      <c r="R177" s="42"/>
      <c r="S177" s="42"/>
      <c r="T177" s="44"/>
      <c r="U177" s="114"/>
      <c r="V177" s="101"/>
      <c r="W177" s="298"/>
      <c r="X177" s="42"/>
      <c r="Y177" s="42"/>
      <c r="Z177" s="42"/>
      <c r="AA177" s="299"/>
      <c r="AB177" s="300"/>
      <c r="AC177" s="42"/>
      <c r="AD177" s="299"/>
      <c r="AE177" s="301" t="str">
        <f t="array" ref="AE177">IF(W177="","", INDEX(Other!G:G, MATCH(W177, Other!B:B,0)))</f>
        <v/>
      </c>
      <c r="AF177" s="42"/>
      <c r="AG177" s="299"/>
      <c r="AH177" s="301" t="str">
        <f t="array" ref="AH177">IF(W177="","", INDEX(Other!H:H, MATCH(W177, Other!B:B,0)))</f>
        <v/>
      </c>
      <c r="AI177" s="42"/>
      <c r="AJ177" s="42"/>
      <c r="AK177" s="299"/>
      <c r="AL177" s="301" t="str">
        <f t="shared" si="2"/>
        <v/>
      </c>
      <c r="AM177" s="42"/>
      <c r="AN177" s="42"/>
      <c r="AO177" s="44"/>
      <c r="AP177" s="114"/>
      <c r="AQ177" s="83"/>
      <c r="AR177" s="83"/>
      <c r="AS177" s="83"/>
      <c r="AT177" s="83"/>
      <c r="AU177" s="83"/>
      <c r="AV177" s="83"/>
      <c r="AW177" s="83"/>
      <c r="AX177" s="83"/>
      <c r="AY177" s="83"/>
      <c r="AZ177" s="83"/>
      <c r="BA177" s="83"/>
      <c r="BB177" s="83"/>
    </row>
    <row r="178">
      <c r="A178" s="101"/>
      <c r="B178" s="298"/>
      <c r="C178" s="42"/>
      <c r="D178" s="42"/>
      <c r="E178" s="42"/>
      <c r="F178" s="299"/>
      <c r="G178" s="300"/>
      <c r="H178" s="42"/>
      <c r="I178" s="299"/>
      <c r="J178" s="301" t="str">
        <f t="array" ref="J178">IF(B178="","", INDEX(Ingredients!G:G, MATCH(B178, Ingredients!B:B,0)))</f>
        <v/>
      </c>
      <c r="K178" s="42"/>
      <c r="L178" s="299"/>
      <c r="M178" s="301" t="str">
        <f t="array" ref="M178">IF(B178="","", INDEX(Ingredients!H:H, MATCH(B178, Ingredients!B:B,0)))</f>
        <v/>
      </c>
      <c r="N178" s="42"/>
      <c r="O178" s="42"/>
      <c r="P178" s="299"/>
      <c r="Q178" s="302" t="str">
        <f t="shared" si="1"/>
        <v/>
      </c>
      <c r="R178" s="42"/>
      <c r="S178" s="42"/>
      <c r="T178" s="44"/>
      <c r="U178" s="114"/>
      <c r="V178" s="101"/>
      <c r="W178" s="298"/>
      <c r="X178" s="42"/>
      <c r="Y178" s="42"/>
      <c r="Z178" s="42"/>
      <c r="AA178" s="299"/>
      <c r="AB178" s="300"/>
      <c r="AC178" s="42"/>
      <c r="AD178" s="299"/>
      <c r="AE178" s="301" t="str">
        <f t="array" ref="AE178">IF(W178="","", INDEX(Other!G:G, MATCH(W178, Other!B:B,0)))</f>
        <v/>
      </c>
      <c r="AF178" s="42"/>
      <c r="AG178" s="299"/>
      <c r="AH178" s="301" t="str">
        <f t="array" ref="AH178">IF(W178="","", INDEX(Other!H:H, MATCH(W178, Other!B:B,0)))</f>
        <v/>
      </c>
      <c r="AI178" s="42"/>
      <c r="AJ178" s="42"/>
      <c r="AK178" s="299"/>
      <c r="AL178" s="301" t="str">
        <f t="shared" si="2"/>
        <v/>
      </c>
      <c r="AM178" s="42"/>
      <c r="AN178" s="42"/>
      <c r="AO178" s="44"/>
      <c r="AP178" s="114"/>
      <c r="AQ178" s="83"/>
      <c r="AR178" s="83"/>
      <c r="AS178" s="83"/>
      <c r="AT178" s="83"/>
      <c r="AU178" s="83"/>
      <c r="AV178" s="83"/>
      <c r="AW178" s="83"/>
      <c r="AX178" s="83"/>
      <c r="AY178" s="83"/>
      <c r="AZ178" s="83"/>
      <c r="BA178" s="83"/>
      <c r="BB178" s="83"/>
    </row>
    <row r="179">
      <c r="A179" s="101"/>
      <c r="B179" s="298"/>
      <c r="C179" s="42"/>
      <c r="D179" s="42"/>
      <c r="E179" s="42"/>
      <c r="F179" s="299"/>
      <c r="G179" s="300"/>
      <c r="H179" s="42"/>
      <c r="I179" s="299"/>
      <c r="J179" s="301" t="str">
        <f t="array" ref="J179">IF(B179="","", INDEX(Ingredients!G:G, MATCH(B179, Ingredients!B:B,0)))</f>
        <v/>
      </c>
      <c r="K179" s="42"/>
      <c r="L179" s="299"/>
      <c r="M179" s="301" t="str">
        <f t="array" ref="M179">IF(B179="","", INDEX(Ingredients!H:H, MATCH(B179, Ingredients!B:B,0)))</f>
        <v/>
      </c>
      <c r="N179" s="42"/>
      <c r="O179" s="42"/>
      <c r="P179" s="299"/>
      <c r="Q179" s="302" t="str">
        <f t="shared" si="1"/>
        <v/>
      </c>
      <c r="R179" s="42"/>
      <c r="S179" s="42"/>
      <c r="T179" s="44"/>
      <c r="U179" s="114"/>
      <c r="V179" s="101"/>
      <c r="W179" s="298"/>
      <c r="X179" s="42"/>
      <c r="Y179" s="42"/>
      <c r="Z179" s="42"/>
      <c r="AA179" s="299"/>
      <c r="AB179" s="300"/>
      <c r="AC179" s="42"/>
      <c r="AD179" s="299"/>
      <c r="AE179" s="301" t="str">
        <f t="array" ref="AE179">IF(W179="","", INDEX(Other!G:G, MATCH(W179, Other!B:B,0)))</f>
        <v/>
      </c>
      <c r="AF179" s="42"/>
      <c r="AG179" s="299"/>
      <c r="AH179" s="301" t="str">
        <f t="array" ref="AH179">IF(W179="","", INDEX(Other!H:H, MATCH(W179, Other!B:B,0)))</f>
        <v/>
      </c>
      <c r="AI179" s="42"/>
      <c r="AJ179" s="42"/>
      <c r="AK179" s="299"/>
      <c r="AL179" s="301" t="str">
        <f t="shared" si="2"/>
        <v/>
      </c>
      <c r="AM179" s="42"/>
      <c r="AN179" s="42"/>
      <c r="AO179" s="44"/>
      <c r="AP179" s="114"/>
      <c r="AQ179" s="83"/>
      <c r="AR179" s="83"/>
      <c r="AS179" s="83"/>
      <c r="AT179" s="83"/>
      <c r="AU179" s="83"/>
      <c r="AV179" s="83"/>
      <c r="AW179" s="83"/>
      <c r="AX179" s="83"/>
      <c r="AY179" s="83"/>
      <c r="AZ179" s="83"/>
      <c r="BA179" s="83"/>
      <c r="BB179" s="83"/>
    </row>
    <row r="180">
      <c r="A180" s="101"/>
      <c r="B180" s="298"/>
      <c r="C180" s="42"/>
      <c r="D180" s="42"/>
      <c r="E180" s="42"/>
      <c r="F180" s="299"/>
      <c r="G180" s="300"/>
      <c r="H180" s="42"/>
      <c r="I180" s="299"/>
      <c r="J180" s="301" t="str">
        <f t="array" ref="J180">IF(B180="","", INDEX(Ingredients!G:G, MATCH(B180, Ingredients!B:B,0)))</f>
        <v/>
      </c>
      <c r="K180" s="42"/>
      <c r="L180" s="299"/>
      <c r="M180" s="301" t="str">
        <f t="array" ref="M180">IF(B180="","", INDEX(Ingredients!H:H, MATCH(B180, Ingredients!B:B,0)))</f>
        <v/>
      </c>
      <c r="N180" s="42"/>
      <c r="O180" s="42"/>
      <c r="P180" s="299"/>
      <c r="Q180" s="302" t="str">
        <f t="shared" si="1"/>
        <v/>
      </c>
      <c r="R180" s="42"/>
      <c r="S180" s="42"/>
      <c r="T180" s="44"/>
      <c r="U180" s="114"/>
      <c r="V180" s="101"/>
      <c r="W180" s="298"/>
      <c r="X180" s="42"/>
      <c r="Y180" s="42"/>
      <c r="Z180" s="42"/>
      <c r="AA180" s="299"/>
      <c r="AB180" s="300"/>
      <c r="AC180" s="42"/>
      <c r="AD180" s="299"/>
      <c r="AE180" s="301" t="str">
        <f t="array" ref="AE180">IF(W180="","", INDEX(Other!G:G, MATCH(W180, Other!B:B,0)))</f>
        <v/>
      </c>
      <c r="AF180" s="42"/>
      <c r="AG180" s="299"/>
      <c r="AH180" s="301" t="str">
        <f t="array" ref="AH180">IF(W180="","", INDEX(Other!H:H, MATCH(W180, Other!B:B,0)))</f>
        <v/>
      </c>
      <c r="AI180" s="42"/>
      <c r="AJ180" s="42"/>
      <c r="AK180" s="299"/>
      <c r="AL180" s="301" t="str">
        <f t="shared" si="2"/>
        <v/>
      </c>
      <c r="AM180" s="42"/>
      <c r="AN180" s="42"/>
      <c r="AO180" s="44"/>
      <c r="AP180" s="114"/>
      <c r="AQ180" s="83"/>
      <c r="AR180" s="83"/>
      <c r="AS180" s="83"/>
      <c r="AT180" s="83"/>
      <c r="AU180" s="83"/>
      <c r="AV180" s="83"/>
      <c r="AW180" s="83"/>
      <c r="AX180" s="83"/>
      <c r="AY180" s="83"/>
      <c r="AZ180" s="83"/>
      <c r="BA180" s="83"/>
      <c r="BB180" s="83"/>
    </row>
    <row r="181">
      <c r="A181" s="101"/>
      <c r="B181" s="298"/>
      <c r="C181" s="42"/>
      <c r="D181" s="42"/>
      <c r="E181" s="42"/>
      <c r="F181" s="299"/>
      <c r="G181" s="300"/>
      <c r="H181" s="42"/>
      <c r="I181" s="299"/>
      <c r="J181" s="301" t="str">
        <f t="array" ref="J181">IF(B181="","", INDEX(Ingredients!G:G, MATCH(B181, Ingredients!B:B,0)))</f>
        <v/>
      </c>
      <c r="K181" s="42"/>
      <c r="L181" s="299"/>
      <c r="M181" s="301" t="str">
        <f t="array" ref="M181">IF(B181="","", INDEX(Ingredients!H:H, MATCH(B181, Ingredients!B:B,0)))</f>
        <v/>
      </c>
      <c r="N181" s="42"/>
      <c r="O181" s="42"/>
      <c r="P181" s="299"/>
      <c r="Q181" s="302" t="str">
        <f t="shared" si="1"/>
        <v/>
      </c>
      <c r="R181" s="42"/>
      <c r="S181" s="42"/>
      <c r="T181" s="44"/>
      <c r="U181" s="114"/>
      <c r="V181" s="101"/>
      <c r="W181" s="298"/>
      <c r="X181" s="42"/>
      <c r="Y181" s="42"/>
      <c r="Z181" s="42"/>
      <c r="AA181" s="299"/>
      <c r="AB181" s="300"/>
      <c r="AC181" s="42"/>
      <c r="AD181" s="299"/>
      <c r="AE181" s="301" t="str">
        <f t="array" ref="AE181">IF(W181="","", INDEX(Other!G:G, MATCH(W181, Other!B:B,0)))</f>
        <v/>
      </c>
      <c r="AF181" s="42"/>
      <c r="AG181" s="299"/>
      <c r="AH181" s="301" t="str">
        <f t="array" ref="AH181">IF(W181="","", INDEX(Other!H:H, MATCH(W181, Other!B:B,0)))</f>
        <v/>
      </c>
      <c r="AI181" s="42"/>
      <c r="AJ181" s="42"/>
      <c r="AK181" s="299"/>
      <c r="AL181" s="301" t="str">
        <f t="shared" si="2"/>
        <v/>
      </c>
      <c r="AM181" s="42"/>
      <c r="AN181" s="42"/>
      <c r="AO181" s="44"/>
      <c r="AP181" s="114"/>
      <c r="AQ181" s="83"/>
      <c r="AR181" s="83"/>
      <c r="AS181" s="83"/>
      <c r="AT181" s="83"/>
      <c r="AU181" s="83"/>
      <c r="AV181" s="83"/>
      <c r="AW181" s="83"/>
      <c r="AX181" s="83"/>
      <c r="AY181" s="83"/>
      <c r="AZ181" s="83"/>
      <c r="BA181" s="83"/>
      <c r="BB181" s="83"/>
    </row>
    <row r="182">
      <c r="A182" s="101"/>
      <c r="B182" s="298"/>
      <c r="C182" s="42"/>
      <c r="D182" s="42"/>
      <c r="E182" s="42"/>
      <c r="F182" s="299"/>
      <c r="G182" s="300"/>
      <c r="H182" s="42"/>
      <c r="I182" s="299"/>
      <c r="J182" s="301" t="str">
        <f t="array" ref="J182">IF(B182="","", INDEX(Ingredients!G:G, MATCH(B182, Ingredients!B:B,0)))</f>
        <v/>
      </c>
      <c r="K182" s="42"/>
      <c r="L182" s="299"/>
      <c r="M182" s="301" t="str">
        <f t="array" ref="M182">IF(B182="","", INDEX(Ingredients!H:H, MATCH(B182, Ingredients!B:B,0)))</f>
        <v/>
      </c>
      <c r="N182" s="42"/>
      <c r="O182" s="42"/>
      <c r="P182" s="299"/>
      <c r="Q182" s="302" t="str">
        <f t="shared" si="1"/>
        <v/>
      </c>
      <c r="R182" s="42"/>
      <c r="S182" s="42"/>
      <c r="T182" s="44"/>
      <c r="U182" s="114"/>
      <c r="V182" s="101"/>
      <c r="W182" s="298"/>
      <c r="X182" s="42"/>
      <c r="Y182" s="42"/>
      <c r="Z182" s="42"/>
      <c r="AA182" s="299"/>
      <c r="AB182" s="300"/>
      <c r="AC182" s="42"/>
      <c r="AD182" s="299"/>
      <c r="AE182" s="301" t="str">
        <f t="array" ref="AE182">IF(W182="","", INDEX(Other!G:G, MATCH(W182, Other!B:B,0)))</f>
        <v/>
      </c>
      <c r="AF182" s="42"/>
      <c r="AG182" s="299"/>
      <c r="AH182" s="301" t="str">
        <f t="array" ref="AH182">IF(W182="","", INDEX(Other!H:H, MATCH(W182, Other!B:B,0)))</f>
        <v/>
      </c>
      <c r="AI182" s="42"/>
      <c r="AJ182" s="42"/>
      <c r="AK182" s="299"/>
      <c r="AL182" s="301" t="str">
        <f t="shared" si="2"/>
        <v/>
      </c>
      <c r="AM182" s="42"/>
      <c r="AN182" s="42"/>
      <c r="AO182" s="44"/>
      <c r="AP182" s="114"/>
      <c r="AQ182" s="83"/>
      <c r="AR182" s="83"/>
      <c r="AS182" s="83"/>
      <c r="AT182" s="83"/>
      <c r="AU182" s="83"/>
      <c r="AV182" s="83"/>
      <c r="AW182" s="83"/>
      <c r="AX182" s="83"/>
      <c r="AY182" s="83"/>
      <c r="AZ182" s="83"/>
      <c r="BA182" s="83"/>
      <c r="BB182" s="83"/>
    </row>
    <row r="183">
      <c r="A183" s="101"/>
      <c r="B183" s="298"/>
      <c r="C183" s="42"/>
      <c r="D183" s="42"/>
      <c r="E183" s="42"/>
      <c r="F183" s="299"/>
      <c r="G183" s="300"/>
      <c r="H183" s="42"/>
      <c r="I183" s="299"/>
      <c r="J183" s="301" t="str">
        <f t="array" ref="J183">IF(B183="","", INDEX(Ingredients!G:G, MATCH(B183, Ingredients!B:B,0)))</f>
        <v/>
      </c>
      <c r="K183" s="42"/>
      <c r="L183" s="299"/>
      <c r="M183" s="301" t="str">
        <f t="array" ref="M183">IF(B183="","", INDEX(Ingredients!H:H, MATCH(B183, Ingredients!B:B,0)))</f>
        <v/>
      </c>
      <c r="N183" s="42"/>
      <c r="O183" s="42"/>
      <c r="P183" s="299"/>
      <c r="Q183" s="302" t="str">
        <f t="shared" si="1"/>
        <v/>
      </c>
      <c r="R183" s="42"/>
      <c r="S183" s="42"/>
      <c r="T183" s="44"/>
      <c r="U183" s="114"/>
      <c r="V183" s="101"/>
      <c r="W183" s="298"/>
      <c r="X183" s="42"/>
      <c r="Y183" s="42"/>
      <c r="Z183" s="42"/>
      <c r="AA183" s="299"/>
      <c r="AB183" s="300"/>
      <c r="AC183" s="42"/>
      <c r="AD183" s="299"/>
      <c r="AE183" s="301" t="str">
        <f t="array" ref="AE183">IF(W183="","", INDEX(Other!G:G, MATCH(W183, Other!B:B,0)))</f>
        <v/>
      </c>
      <c r="AF183" s="42"/>
      <c r="AG183" s="299"/>
      <c r="AH183" s="301" t="str">
        <f t="array" ref="AH183">IF(W183="","", INDEX(Other!H:H, MATCH(W183, Other!B:B,0)))</f>
        <v/>
      </c>
      <c r="AI183" s="42"/>
      <c r="AJ183" s="42"/>
      <c r="AK183" s="299"/>
      <c r="AL183" s="301" t="str">
        <f t="shared" si="2"/>
        <v/>
      </c>
      <c r="AM183" s="42"/>
      <c r="AN183" s="42"/>
      <c r="AO183" s="44"/>
      <c r="AP183" s="114"/>
      <c r="AQ183" s="83"/>
      <c r="AR183" s="83"/>
      <c r="AS183" s="83"/>
      <c r="AT183" s="83"/>
      <c r="AU183" s="83"/>
      <c r="AV183" s="83"/>
      <c r="AW183" s="83"/>
      <c r="AX183" s="83"/>
      <c r="AY183" s="83"/>
      <c r="AZ183" s="83"/>
      <c r="BA183" s="83"/>
      <c r="BB183" s="83"/>
    </row>
    <row r="184">
      <c r="A184" s="101"/>
      <c r="B184" s="298"/>
      <c r="C184" s="42"/>
      <c r="D184" s="42"/>
      <c r="E184" s="42"/>
      <c r="F184" s="299"/>
      <c r="G184" s="300"/>
      <c r="H184" s="42"/>
      <c r="I184" s="299"/>
      <c r="J184" s="301" t="str">
        <f t="array" ref="J184">IF(B184="","", INDEX(Ingredients!G:G, MATCH(B184, Ingredients!B:B,0)))</f>
        <v/>
      </c>
      <c r="K184" s="42"/>
      <c r="L184" s="299"/>
      <c r="M184" s="301" t="str">
        <f t="array" ref="M184">IF(B184="","", INDEX(Ingredients!H:H, MATCH(B184, Ingredients!B:B,0)))</f>
        <v/>
      </c>
      <c r="N184" s="42"/>
      <c r="O184" s="42"/>
      <c r="P184" s="299"/>
      <c r="Q184" s="302" t="str">
        <f t="shared" si="1"/>
        <v/>
      </c>
      <c r="R184" s="42"/>
      <c r="S184" s="42"/>
      <c r="T184" s="44"/>
      <c r="U184" s="114"/>
      <c r="V184" s="101"/>
      <c r="W184" s="298"/>
      <c r="X184" s="42"/>
      <c r="Y184" s="42"/>
      <c r="Z184" s="42"/>
      <c r="AA184" s="299"/>
      <c r="AB184" s="300"/>
      <c r="AC184" s="42"/>
      <c r="AD184" s="299"/>
      <c r="AE184" s="301" t="str">
        <f t="array" ref="AE184">IF(W184="","", INDEX(Other!G:G, MATCH(W184, Other!B:B,0)))</f>
        <v/>
      </c>
      <c r="AF184" s="42"/>
      <c r="AG184" s="299"/>
      <c r="AH184" s="301" t="str">
        <f t="array" ref="AH184">IF(W184="","", INDEX(Other!H:H, MATCH(W184, Other!B:B,0)))</f>
        <v/>
      </c>
      <c r="AI184" s="42"/>
      <c r="AJ184" s="42"/>
      <c r="AK184" s="299"/>
      <c r="AL184" s="301" t="str">
        <f t="shared" si="2"/>
        <v/>
      </c>
      <c r="AM184" s="42"/>
      <c r="AN184" s="42"/>
      <c r="AO184" s="44"/>
      <c r="AP184" s="114"/>
      <c r="AQ184" s="83"/>
      <c r="AR184" s="83"/>
      <c r="AS184" s="83"/>
      <c r="AT184" s="83"/>
      <c r="AU184" s="83"/>
      <c r="AV184" s="83"/>
      <c r="AW184" s="83"/>
      <c r="AX184" s="83"/>
      <c r="AY184" s="83"/>
      <c r="AZ184" s="83"/>
      <c r="BA184" s="83"/>
      <c r="BB184" s="83"/>
    </row>
    <row r="185">
      <c r="A185" s="101"/>
      <c r="B185" s="298"/>
      <c r="C185" s="42"/>
      <c r="D185" s="42"/>
      <c r="E185" s="42"/>
      <c r="F185" s="299"/>
      <c r="G185" s="300"/>
      <c r="H185" s="42"/>
      <c r="I185" s="299"/>
      <c r="J185" s="301" t="str">
        <f t="array" ref="J185">IF(B185="","", INDEX(Ingredients!G:G, MATCH(B185, Ingredients!B:B,0)))</f>
        <v/>
      </c>
      <c r="K185" s="42"/>
      <c r="L185" s="299"/>
      <c r="M185" s="301" t="str">
        <f t="array" ref="M185">IF(B185="","", INDEX(Ingredients!H:H, MATCH(B185, Ingredients!B:B,0)))</f>
        <v/>
      </c>
      <c r="N185" s="42"/>
      <c r="O185" s="42"/>
      <c r="P185" s="299"/>
      <c r="Q185" s="302" t="str">
        <f t="shared" si="1"/>
        <v/>
      </c>
      <c r="R185" s="42"/>
      <c r="S185" s="42"/>
      <c r="T185" s="44"/>
      <c r="U185" s="114"/>
      <c r="V185" s="101"/>
      <c r="W185" s="298"/>
      <c r="X185" s="42"/>
      <c r="Y185" s="42"/>
      <c r="Z185" s="42"/>
      <c r="AA185" s="299"/>
      <c r="AB185" s="300"/>
      <c r="AC185" s="42"/>
      <c r="AD185" s="299"/>
      <c r="AE185" s="301" t="str">
        <f t="array" ref="AE185">IF(W185="","", INDEX(Other!G:G, MATCH(W185, Other!B:B,0)))</f>
        <v/>
      </c>
      <c r="AF185" s="42"/>
      <c r="AG185" s="299"/>
      <c r="AH185" s="301" t="str">
        <f t="array" ref="AH185">IF(W185="","", INDEX(Other!H:H, MATCH(W185, Other!B:B,0)))</f>
        <v/>
      </c>
      <c r="AI185" s="42"/>
      <c r="AJ185" s="42"/>
      <c r="AK185" s="299"/>
      <c r="AL185" s="301" t="str">
        <f t="shared" si="2"/>
        <v/>
      </c>
      <c r="AM185" s="42"/>
      <c r="AN185" s="42"/>
      <c r="AO185" s="44"/>
      <c r="AP185" s="114"/>
      <c r="AQ185" s="83"/>
      <c r="AR185" s="83"/>
      <c r="AS185" s="83"/>
      <c r="AT185" s="83"/>
      <c r="AU185" s="83"/>
      <c r="AV185" s="83"/>
      <c r="AW185" s="83"/>
      <c r="AX185" s="83"/>
      <c r="AY185" s="83"/>
      <c r="AZ185" s="83"/>
      <c r="BA185" s="83"/>
      <c r="BB185" s="83"/>
    </row>
    <row r="186">
      <c r="A186" s="101"/>
      <c r="B186" s="298"/>
      <c r="C186" s="42"/>
      <c r="D186" s="42"/>
      <c r="E186" s="42"/>
      <c r="F186" s="299"/>
      <c r="G186" s="300"/>
      <c r="H186" s="42"/>
      <c r="I186" s="299"/>
      <c r="J186" s="301" t="str">
        <f t="array" ref="J186">IF(B186="","", INDEX(Ingredients!G:G, MATCH(B186, Ingredients!B:B,0)))</f>
        <v/>
      </c>
      <c r="K186" s="42"/>
      <c r="L186" s="299"/>
      <c r="M186" s="301" t="str">
        <f t="array" ref="M186">IF(B186="","", INDEX(Ingredients!H:H, MATCH(B186, Ingredients!B:B,0)))</f>
        <v/>
      </c>
      <c r="N186" s="42"/>
      <c r="O186" s="42"/>
      <c r="P186" s="299"/>
      <c r="Q186" s="302" t="str">
        <f t="shared" si="1"/>
        <v/>
      </c>
      <c r="R186" s="42"/>
      <c r="S186" s="42"/>
      <c r="T186" s="44"/>
      <c r="U186" s="114"/>
      <c r="V186" s="101"/>
      <c r="W186" s="298"/>
      <c r="X186" s="42"/>
      <c r="Y186" s="42"/>
      <c r="Z186" s="42"/>
      <c r="AA186" s="299"/>
      <c r="AB186" s="300"/>
      <c r="AC186" s="42"/>
      <c r="AD186" s="299"/>
      <c r="AE186" s="301" t="str">
        <f t="array" ref="AE186">IF(W186="","", INDEX(Other!G:G, MATCH(W186, Other!B:B,0)))</f>
        <v/>
      </c>
      <c r="AF186" s="42"/>
      <c r="AG186" s="299"/>
      <c r="AH186" s="301" t="str">
        <f t="array" ref="AH186">IF(W186="","", INDEX(Other!H:H, MATCH(W186, Other!B:B,0)))</f>
        <v/>
      </c>
      <c r="AI186" s="42"/>
      <c r="AJ186" s="42"/>
      <c r="AK186" s="299"/>
      <c r="AL186" s="301" t="str">
        <f t="shared" si="2"/>
        <v/>
      </c>
      <c r="AM186" s="42"/>
      <c r="AN186" s="42"/>
      <c r="AO186" s="44"/>
      <c r="AP186" s="114"/>
      <c r="AQ186" s="83"/>
      <c r="AR186" s="83"/>
      <c r="AS186" s="83"/>
      <c r="AT186" s="83"/>
      <c r="AU186" s="83"/>
      <c r="AV186" s="83"/>
      <c r="AW186" s="83"/>
      <c r="AX186" s="83"/>
      <c r="AY186" s="83"/>
      <c r="AZ186" s="83"/>
      <c r="BA186" s="83"/>
      <c r="BB186" s="83"/>
    </row>
    <row r="187">
      <c r="A187" s="101"/>
      <c r="B187" s="298"/>
      <c r="C187" s="42"/>
      <c r="D187" s="42"/>
      <c r="E187" s="42"/>
      <c r="F187" s="299"/>
      <c r="G187" s="300"/>
      <c r="H187" s="42"/>
      <c r="I187" s="299"/>
      <c r="J187" s="301" t="str">
        <f t="array" ref="J187">IF(B187="","", INDEX(Ingredients!G:G, MATCH(B187, Ingredients!B:B,0)))</f>
        <v/>
      </c>
      <c r="K187" s="42"/>
      <c r="L187" s="299"/>
      <c r="M187" s="301" t="str">
        <f t="array" ref="M187">IF(B187="","", INDEX(Ingredients!H:H, MATCH(B187, Ingredients!B:B,0)))</f>
        <v/>
      </c>
      <c r="N187" s="42"/>
      <c r="O187" s="42"/>
      <c r="P187" s="299"/>
      <c r="Q187" s="302" t="str">
        <f t="shared" si="1"/>
        <v/>
      </c>
      <c r="R187" s="42"/>
      <c r="S187" s="42"/>
      <c r="T187" s="44"/>
      <c r="U187" s="114"/>
      <c r="V187" s="101"/>
      <c r="W187" s="298"/>
      <c r="X187" s="42"/>
      <c r="Y187" s="42"/>
      <c r="Z187" s="42"/>
      <c r="AA187" s="299"/>
      <c r="AB187" s="300"/>
      <c r="AC187" s="42"/>
      <c r="AD187" s="299"/>
      <c r="AE187" s="301" t="str">
        <f t="array" ref="AE187">IF(W187="","", INDEX(Other!G:G, MATCH(W187, Other!B:B,0)))</f>
        <v/>
      </c>
      <c r="AF187" s="42"/>
      <c r="AG187" s="299"/>
      <c r="AH187" s="301" t="str">
        <f t="array" ref="AH187">IF(W187="","", INDEX(Other!H:H, MATCH(W187, Other!B:B,0)))</f>
        <v/>
      </c>
      <c r="AI187" s="42"/>
      <c r="AJ187" s="42"/>
      <c r="AK187" s="299"/>
      <c r="AL187" s="301" t="str">
        <f t="shared" si="2"/>
        <v/>
      </c>
      <c r="AM187" s="42"/>
      <c r="AN187" s="42"/>
      <c r="AO187" s="44"/>
      <c r="AP187" s="114"/>
      <c r="AQ187" s="83"/>
      <c r="AR187" s="83"/>
      <c r="AS187" s="83"/>
      <c r="AT187" s="83"/>
      <c r="AU187" s="83"/>
      <c r="AV187" s="83"/>
      <c r="AW187" s="83"/>
      <c r="AX187" s="83"/>
      <c r="AY187" s="83"/>
      <c r="AZ187" s="83"/>
      <c r="BA187" s="83"/>
      <c r="BB187" s="83"/>
    </row>
    <row r="188">
      <c r="A188" s="101"/>
      <c r="B188" s="298"/>
      <c r="C188" s="42"/>
      <c r="D188" s="42"/>
      <c r="E188" s="42"/>
      <c r="F188" s="299"/>
      <c r="G188" s="300"/>
      <c r="H188" s="42"/>
      <c r="I188" s="299"/>
      <c r="J188" s="301" t="str">
        <f t="array" ref="J188">IF(B188="","", INDEX(Ingredients!G:G, MATCH(B188, Ingredients!B:B,0)))</f>
        <v/>
      </c>
      <c r="K188" s="42"/>
      <c r="L188" s="299"/>
      <c r="M188" s="301" t="str">
        <f t="array" ref="M188">IF(B188="","", INDEX(Ingredients!H:H, MATCH(B188, Ingredients!B:B,0)))</f>
        <v/>
      </c>
      <c r="N188" s="42"/>
      <c r="O188" s="42"/>
      <c r="P188" s="299"/>
      <c r="Q188" s="302" t="str">
        <f t="shared" si="1"/>
        <v/>
      </c>
      <c r="R188" s="42"/>
      <c r="S188" s="42"/>
      <c r="T188" s="44"/>
      <c r="U188" s="114"/>
      <c r="V188" s="101"/>
      <c r="W188" s="298"/>
      <c r="X188" s="42"/>
      <c r="Y188" s="42"/>
      <c r="Z188" s="42"/>
      <c r="AA188" s="299"/>
      <c r="AB188" s="300"/>
      <c r="AC188" s="42"/>
      <c r="AD188" s="299"/>
      <c r="AE188" s="301" t="str">
        <f t="array" ref="AE188">IF(W188="","", INDEX(Other!G:G, MATCH(W188, Other!B:B,0)))</f>
        <v/>
      </c>
      <c r="AF188" s="42"/>
      <c r="AG188" s="299"/>
      <c r="AH188" s="301" t="str">
        <f t="array" ref="AH188">IF(W188="","", INDEX(Other!H:H, MATCH(W188, Other!B:B,0)))</f>
        <v/>
      </c>
      <c r="AI188" s="42"/>
      <c r="AJ188" s="42"/>
      <c r="AK188" s="299"/>
      <c r="AL188" s="301" t="str">
        <f t="shared" si="2"/>
        <v/>
      </c>
      <c r="AM188" s="42"/>
      <c r="AN188" s="42"/>
      <c r="AO188" s="44"/>
      <c r="AP188" s="114"/>
      <c r="AQ188" s="83"/>
      <c r="AR188" s="83"/>
      <c r="AS188" s="83"/>
      <c r="AT188" s="83"/>
      <c r="AU188" s="83"/>
      <c r="AV188" s="83"/>
      <c r="AW188" s="83"/>
      <c r="AX188" s="83"/>
      <c r="AY188" s="83"/>
      <c r="AZ188" s="83"/>
      <c r="BA188" s="83"/>
      <c r="BB188" s="83"/>
    </row>
    <row r="189">
      <c r="A189" s="101"/>
      <c r="B189" s="298"/>
      <c r="C189" s="42"/>
      <c r="D189" s="42"/>
      <c r="E189" s="42"/>
      <c r="F189" s="299"/>
      <c r="G189" s="300"/>
      <c r="H189" s="42"/>
      <c r="I189" s="299"/>
      <c r="J189" s="301" t="str">
        <f t="array" ref="J189">IF(B189="","", INDEX(Ingredients!G:G, MATCH(B189, Ingredients!B:B,0)))</f>
        <v/>
      </c>
      <c r="K189" s="42"/>
      <c r="L189" s="299"/>
      <c r="M189" s="301" t="str">
        <f t="array" ref="M189">IF(B189="","", INDEX(Ingredients!H:H, MATCH(B189, Ingredients!B:B,0)))</f>
        <v/>
      </c>
      <c r="N189" s="42"/>
      <c r="O189" s="42"/>
      <c r="P189" s="299"/>
      <c r="Q189" s="302" t="str">
        <f t="shared" si="1"/>
        <v/>
      </c>
      <c r="R189" s="42"/>
      <c r="S189" s="42"/>
      <c r="T189" s="44"/>
      <c r="U189" s="114"/>
      <c r="V189" s="101"/>
      <c r="W189" s="298"/>
      <c r="X189" s="42"/>
      <c r="Y189" s="42"/>
      <c r="Z189" s="42"/>
      <c r="AA189" s="299"/>
      <c r="AB189" s="300"/>
      <c r="AC189" s="42"/>
      <c r="AD189" s="299"/>
      <c r="AE189" s="301" t="str">
        <f t="array" ref="AE189">IF(W189="","", INDEX(Other!G:G, MATCH(W189, Other!B:B,0)))</f>
        <v/>
      </c>
      <c r="AF189" s="42"/>
      <c r="AG189" s="299"/>
      <c r="AH189" s="301" t="str">
        <f t="array" ref="AH189">IF(W189="","", INDEX(Other!H:H, MATCH(W189, Other!B:B,0)))</f>
        <v/>
      </c>
      <c r="AI189" s="42"/>
      <c r="AJ189" s="42"/>
      <c r="AK189" s="299"/>
      <c r="AL189" s="301" t="str">
        <f t="shared" si="2"/>
        <v/>
      </c>
      <c r="AM189" s="42"/>
      <c r="AN189" s="42"/>
      <c r="AO189" s="44"/>
      <c r="AP189" s="114"/>
      <c r="AQ189" s="83"/>
      <c r="AR189" s="83"/>
      <c r="AS189" s="83"/>
      <c r="AT189" s="83"/>
      <c r="AU189" s="83"/>
      <c r="AV189" s="83"/>
      <c r="AW189" s="83"/>
      <c r="AX189" s="83"/>
      <c r="AY189" s="83"/>
      <c r="AZ189" s="83"/>
      <c r="BA189" s="83"/>
      <c r="BB189" s="83"/>
    </row>
    <row r="190">
      <c r="A190" s="101"/>
      <c r="B190" s="298"/>
      <c r="C190" s="42"/>
      <c r="D190" s="42"/>
      <c r="E190" s="42"/>
      <c r="F190" s="299"/>
      <c r="G190" s="300"/>
      <c r="H190" s="42"/>
      <c r="I190" s="299"/>
      <c r="J190" s="301" t="str">
        <f t="array" ref="J190">IF(B190="","", INDEX(Ingredients!G:G, MATCH(B190, Ingredients!B:B,0)))</f>
        <v/>
      </c>
      <c r="K190" s="42"/>
      <c r="L190" s="299"/>
      <c r="M190" s="301" t="str">
        <f t="array" ref="M190">IF(B190="","", INDEX(Ingredients!H:H, MATCH(B190, Ingredients!B:B,0)))</f>
        <v/>
      </c>
      <c r="N190" s="42"/>
      <c r="O190" s="42"/>
      <c r="P190" s="299"/>
      <c r="Q190" s="302" t="str">
        <f t="shared" si="1"/>
        <v/>
      </c>
      <c r="R190" s="42"/>
      <c r="S190" s="42"/>
      <c r="T190" s="44"/>
      <c r="U190" s="114"/>
      <c r="V190" s="101"/>
      <c r="W190" s="298"/>
      <c r="X190" s="42"/>
      <c r="Y190" s="42"/>
      <c r="Z190" s="42"/>
      <c r="AA190" s="299"/>
      <c r="AB190" s="300"/>
      <c r="AC190" s="42"/>
      <c r="AD190" s="299"/>
      <c r="AE190" s="301" t="str">
        <f t="array" ref="AE190">IF(W190="","", INDEX(Other!G:G, MATCH(W190, Other!B:B,0)))</f>
        <v/>
      </c>
      <c r="AF190" s="42"/>
      <c r="AG190" s="299"/>
      <c r="AH190" s="301" t="str">
        <f t="array" ref="AH190">IF(W190="","", INDEX(Other!H:H, MATCH(W190, Other!B:B,0)))</f>
        <v/>
      </c>
      <c r="AI190" s="42"/>
      <c r="AJ190" s="42"/>
      <c r="AK190" s="299"/>
      <c r="AL190" s="301" t="str">
        <f t="shared" si="2"/>
        <v/>
      </c>
      <c r="AM190" s="42"/>
      <c r="AN190" s="42"/>
      <c r="AO190" s="44"/>
      <c r="AP190" s="114"/>
      <c r="AQ190" s="83"/>
      <c r="AR190" s="83"/>
      <c r="AS190" s="83"/>
      <c r="AT190" s="83"/>
      <c r="AU190" s="83"/>
      <c r="AV190" s="83"/>
      <c r="AW190" s="83"/>
      <c r="AX190" s="83"/>
      <c r="AY190" s="83"/>
      <c r="AZ190" s="83"/>
      <c r="BA190" s="83"/>
      <c r="BB190" s="83"/>
    </row>
    <row r="191">
      <c r="A191" s="101"/>
      <c r="B191" s="298"/>
      <c r="C191" s="42"/>
      <c r="D191" s="42"/>
      <c r="E191" s="42"/>
      <c r="F191" s="299"/>
      <c r="G191" s="300"/>
      <c r="H191" s="42"/>
      <c r="I191" s="299"/>
      <c r="J191" s="301" t="str">
        <f t="array" ref="J191">IF(B191="","", INDEX(Ingredients!G:G, MATCH(B191, Ingredients!B:B,0)))</f>
        <v/>
      </c>
      <c r="K191" s="42"/>
      <c r="L191" s="299"/>
      <c r="M191" s="301" t="str">
        <f t="array" ref="M191">IF(B191="","", INDEX(Ingredients!H:H, MATCH(B191, Ingredients!B:B,0)))</f>
        <v/>
      </c>
      <c r="N191" s="42"/>
      <c r="O191" s="42"/>
      <c r="P191" s="299"/>
      <c r="Q191" s="302" t="str">
        <f t="shared" si="1"/>
        <v/>
      </c>
      <c r="R191" s="42"/>
      <c r="S191" s="42"/>
      <c r="T191" s="44"/>
      <c r="U191" s="114"/>
      <c r="V191" s="101"/>
      <c r="W191" s="298"/>
      <c r="X191" s="42"/>
      <c r="Y191" s="42"/>
      <c r="Z191" s="42"/>
      <c r="AA191" s="299"/>
      <c r="AB191" s="300"/>
      <c r="AC191" s="42"/>
      <c r="AD191" s="299"/>
      <c r="AE191" s="301" t="str">
        <f t="array" ref="AE191">IF(W191="","", INDEX(Other!G:G, MATCH(W191, Other!B:B,0)))</f>
        <v/>
      </c>
      <c r="AF191" s="42"/>
      <c r="AG191" s="299"/>
      <c r="AH191" s="301" t="str">
        <f t="array" ref="AH191">IF(W191="","", INDEX(Other!H:H, MATCH(W191, Other!B:B,0)))</f>
        <v/>
      </c>
      <c r="AI191" s="42"/>
      <c r="AJ191" s="42"/>
      <c r="AK191" s="299"/>
      <c r="AL191" s="301" t="str">
        <f t="shared" si="2"/>
        <v/>
      </c>
      <c r="AM191" s="42"/>
      <c r="AN191" s="42"/>
      <c r="AO191" s="44"/>
      <c r="AP191" s="114"/>
      <c r="AQ191" s="83"/>
      <c r="AR191" s="83"/>
      <c r="AS191" s="83"/>
      <c r="AT191" s="83"/>
      <c r="AU191" s="83"/>
      <c r="AV191" s="83"/>
      <c r="AW191" s="83"/>
      <c r="AX191" s="83"/>
      <c r="AY191" s="83"/>
      <c r="AZ191" s="83"/>
      <c r="BA191" s="83"/>
      <c r="BB191" s="83"/>
    </row>
    <row r="192">
      <c r="A192" s="101"/>
      <c r="B192" s="298"/>
      <c r="C192" s="42"/>
      <c r="D192" s="42"/>
      <c r="E192" s="42"/>
      <c r="F192" s="299"/>
      <c r="G192" s="300"/>
      <c r="H192" s="42"/>
      <c r="I192" s="299"/>
      <c r="J192" s="301" t="str">
        <f t="array" ref="J192">IF(B192="","", INDEX(Ingredients!G:G, MATCH(B192, Ingredients!B:B,0)))</f>
        <v/>
      </c>
      <c r="K192" s="42"/>
      <c r="L192" s="299"/>
      <c r="M192" s="301" t="str">
        <f t="array" ref="M192">IF(B192="","", INDEX(Ingredients!H:H, MATCH(B192, Ingredients!B:B,0)))</f>
        <v/>
      </c>
      <c r="N192" s="42"/>
      <c r="O192" s="42"/>
      <c r="P192" s="299"/>
      <c r="Q192" s="302" t="str">
        <f t="shared" si="1"/>
        <v/>
      </c>
      <c r="R192" s="42"/>
      <c r="S192" s="42"/>
      <c r="T192" s="44"/>
      <c r="U192" s="114"/>
      <c r="V192" s="101"/>
      <c r="W192" s="298"/>
      <c r="X192" s="42"/>
      <c r="Y192" s="42"/>
      <c r="Z192" s="42"/>
      <c r="AA192" s="299"/>
      <c r="AB192" s="300"/>
      <c r="AC192" s="42"/>
      <c r="AD192" s="299"/>
      <c r="AE192" s="301" t="str">
        <f t="array" ref="AE192">IF(W192="","", INDEX(Other!G:G, MATCH(W192, Other!B:B,0)))</f>
        <v/>
      </c>
      <c r="AF192" s="42"/>
      <c r="AG192" s="299"/>
      <c r="AH192" s="301" t="str">
        <f t="array" ref="AH192">IF(W192="","", INDEX(Other!H:H, MATCH(W192, Other!B:B,0)))</f>
        <v/>
      </c>
      <c r="AI192" s="42"/>
      <c r="AJ192" s="42"/>
      <c r="AK192" s="299"/>
      <c r="AL192" s="301" t="str">
        <f t="shared" si="2"/>
        <v/>
      </c>
      <c r="AM192" s="42"/>
      <c r="AN192" s="42"/>
      <c r="AO192" s="44"/>
      <c r="AP192" s="114"/>
      <c r="AQ192" s="83"/>
      <c r="AR192" s="83"/>
      <c r="AS192" s="83"/>
      <c r="AT192" s="83"/>
      <c r="AU192" s="83"/>
      <c r="AV192" s="83"/>
      <c r="AW192" s="83"/>
      <c r="AX192" s="83"/>
      <c r="AY192" s="83"/>
      <c r="AZ192" s="83"/>
      <c r="BA192" s="83"/>
      <c r="BB192" s="83"/>
    </row>
    <row r="193">
      <c r="A193" s="101"/>
      <c r="B193" s="298"/>
      <c r="C193" s="42"/>
      <c r="D193" s="42"/>
      <c r="E193" s="42"/>
      <c r="F193" s="299"/>
      <c r="G193" s="300"/>
      <c r="H193" s="42"/>
      <c r="I193" s="299"/>
      <c r="J193" s="301" t="str">
        <f t="array" ref="J193">IF(B193="","", INDEX(Ingredients!G:G, MATCH(B193, Ingredients!B:B,0)))</f>
        <v/>
      </c>
      <c r="K193" s="42"/>
      <c r="L193" s="299"/>
      <c r="M193" s="301" t="str">
        <f t="array" ref="M193">IF(B193="","", INDEX(Ingredients!H:H, MATCH(B193, Ingredients!B:B,0)))</f>
        <v/>
      </c>
      <c r="N193" s="42"/>
      <c r="O193" s="42"/>
      <c r="P193" s="299"/>
      <c r="Q193" s="302" t="str">
        <f t="shared" si="1"/>
        <v/>
      </c>
      <c r="R193" s="42"/>
      <c r="S193" s="42"/>
      <c r="T193" s="44"/>
      <c r="U193" s="114"/>
      <c r="V193" s="101"/>
      <c r="W193" s="298"/>
      <c r="X193" s="42"/>
      <c r="Y193" s="42"/>
      <c r="Z193" s="42"/>
      <c r="AA193" s="299"/>
      <c r="AB193" s="300"/>
      <c r="AC193" s="42"/>
      <c r="AD193" s="299"/>
      <c r="AE193" s="301" t="str">
        <f t="array" ref="AE193">IF(W193="","", INDEX(Other!G:G, MATCH(W193, Other!B:B,0)))</f>
        <v/>
      </c>
      <c r="AF193" s="42"/>
      <c r="AG193" s="299"/>
      <c r="AH193" s="301" t="str">
        <f t="array" ref="AH193">IF(W193="","", INDEX(Other!H:H, MATCH(W193, Other!B:B,0)))</f>
        <v/>
      </c>
      <c r="AI193" s="42"/>
      <c r="AJ193" s="42"/>
      <c r="AK193" s="299"/>
      <c r="AL193" s="301" t="str">
        <f t="shared" si="2"/>
        <v/>
      </c>
      <c r="AM193" s="42"/>
      <c r="AN193" s="42"/>
      <c r="AO193" s="44"/>
      <c r="AP193" s="114"/>
      <c r="AQ193" s="83"/>
      <c r="AR193" s="83"/>
      <c r="AS193" s="83"/>
      <c r="AT193" s="83"/>
      <c r="AU193" s="83"/>
      <c r="AV193" s="83"/>
      <c r="AW193" s="83"/>
      <c r="AX193" s="83"/>
      <c r="AY193" s="83"/>
      <c r="AZ193" s="83"/>
      <c r="BA193" s="83"/>
      <c r="BB193" s="83"/>
    </row>
    <row r="194">
      <c r="A194" s="101"/>
      <c r="B194" s="298"/>
      <c r="C194" s="42"/>
      <c r="D194" s="42"/>
      <c r="E194" s="42"/>
      <c r="F194" s="299"/>
      <c r="G194" s="300"/>
      <c r="H194" s="42"/>
      <c r="I194" s="299"/>
      <c r="J194" s="301" t="str">
        <f t="array" ref="J194">IF(B194="","", INDEX(Ingredients!G:G, MATCH(B194, Ingredients!B:B,0)))</f>
        <v/>
      </c>
      <c r="K194" s="42"/>
      <c r="L194" s="299"/>
      <c r="M194" s="301" t="str">
        <f t="array" ref="M194">IF(B194="","", INDEX(Ingredients!H:H, MATCH(B194, Ingredients!B:B,0)))</f>
        <v/>
      </c>
      <c r="N194" s="42"/>
      <c r="O194" s="42"/>
      <c r="P194" s="299"/>
      <c r="Q194" s="302" t="str">
        <f t="shared" si="1"/>
        <v/>
      </c>
      <c r="R194" s="42"/>
      <c r="S194" s="42"/>
      <c r="T194" s="44"/>
      <c r="U194" s="114"/>
      <c r="V194" s="101"/>
      <c r="W194" s="298"/>
      <c r="X194" s="42"/>
      <c r="Y194" s="42"/>
      <c r="Z194" s="42"/>
      <c r="AA194" s="299"/>
      <c r="AB194" s="300"/>
      <c r="AC194" s="42"/>
      <c r="AD194" s="299"/>
      <c r="AE194" s="301" t="str">
        <f t="array" ref="AE194">IF(W194="","", INDEX(Other!G:G, MATCH(W194, Other!B:B,0)))</f>
        <v/>
      </c>
      <c r="AF194" s="42"/>
      <c r="AG194" s="299"/>
      <c r="AH194" s="301" t="str">
        <f t="array" ref="AH194">IF(W194="","", INDEX(Other!H:H, MATCH(W194, Other!B:B,0)))</f>
        <v/>
      </c>
      <c r="AI194" s="42"/>
      <c r="AJ194" s="42"/>
      <c r="AK194" s="299"/>
      <c r="AL194" s="301" t="str">
        <f t="shared" si="2"/>
        <v/>
      </c>
      <c r="AM194" s="42"/>
      <c r="AN194" s="42"/>
      <c r="AO194" s="44"/>
      <c r="AP194" s="114"/>
      <c r="AQ194" s="83"/>
      <c r="AR194" s="83"/>
      <c r="AS194" s="83"/>
      <c r="AT194" s="83"/>
      <c r="AU194" s="83"/>
      <c r="AV194" s="83"/>
      <c r="AW194" s="83"/>
      <c r="AX194" s="83"/>
      <c r="AY194" s="83"/>
      <c r="AZ194" s="83"/>
      <c r="BA194" s="83"/>
      <c r="BB194" s="83"/>
    </row>
    <row r="195">
      <c r="A195" s="101"/>
      <c r="B195" s="298"/>
      <c r="C195" s="42"/>
      <c r="D195" s="42"/>
      <c r="E195" s="42"/>
      <c r="F195" s="299"/>
      <c r="G195" s="300"/>
      <c r="H195" s="42"/>
      <c r="I195" s="299"/>
      <c r="J195" s="301" t="str">
        <f t="array" ref="J195">IF(B195="","", INDEX(Ingredients!G:G, MATCH(B195, Ingredients!B:B,0)))</f>
        <v/>
      </c>
      <c r="K195" s="42"/>
      <c r="L195" s="299"/>
      <c r="M195" s="301" t="str">
        <f t="array" ref="M195">IF(B195="","", INDEX(Ingredients!H:H, MATCH(B195, Ingredients!B:B,0)))</f>
        <v/>
      </c>
      <c r="N195" s="42"/>
      <c r="O195" s="42"/>
      <c r="P195" s="299"/>
      <c r="Q195" s="302" t="str">
        <f t="shared" si="1"/>
        <v/>
      </c>
      <c r="R195" s="42"/>
      <c r="S195" s="42"/>
      <c r="T195" s="44"/>
      <c r="U195" s="114"/>
      <c r="V195" s="101"/>
      <c r="W195" s="298"/>
      <c r="X195" s="42"/>
      <c r="Y195" s="42"/>
      <c r="Z195" s="42"/>
      <c r="AA195" s="299"/>
      <c r="AB195" s="300"/>
      <c r="AC195" s="42"/>
      <c r="AD195" s="299"/>
      <c r="AE195" s="301" t="str">
        <f t="array" ref="AE195">IF(W195="","", INDEX(Other!G:G, MATCH(W195, Other!B:B,0)))</f>
        <v/>
      </c>
      <c r="AF195" s="42"/>
      <c r="AG195" s="299"/>
      <c r="AH195" s="301" t="str">
        <f t="array" ref="AH195">IF(W195="","", INDEX(Other!H:H, MATCH(W195, Other!B:B,0)))</f>
        <v/>
      </c>
      <c r="AI195" s="42"/>
      <c r="AJ195" s="42"/>
      <c r="AK195" s="299"/>
      <c r="AL195" s="301" t="str">
        <f t="shared" si="2"/>
        <v/>
      </c>
      <c r="AM195" s="42"/>
      <c r="AN195" s="42"/>
      <c r="AO195" s="44"/>
      <c r="AP195" s="114"/>
      <c r="AQ195" s="83"/>
      <c r="AR195" s="83"/>
      <c r="AS195" s="83"/>
      <c r="AT195" s="83"/>
      <c r="AU195" s="83"/>
      <c r="AV195" s="83"/>
      <c r="AW195" s="83"/>
      <c r="AX195" s="83"/>
      <c r="AY195" s="83"/>
      <c r="AZ195" s="83"/>
      <c r="BA195" s="83"/>
      <c r="BB195" s="83"/>
    </row>
    <row r="196">
      <c r="A196" s="101"/>
      <c r="B196" s="298"/>
      <c r="C196" s="42"/>
      <c r="D196" s="42"/>
      <c r="E196" s="42"/>
      <c r="F196" s="299"/>
      <c r="G196" s="300"/>
      <c r="H196" s="42"/>
      <c r="I196" s="299"/>
      <c r="J196" s="301" t="str">
        <f t="array" ref="J196">IF(B196="","", INDEX(Ingredients!G:G, MATCH(B196, Ingredients!B:B,0)))</f>
        <v/>
      </c>
      <c r="K196" s="42"/>
      <c r="L196" s="299"/>
      <c r="M196" s="301" t="str">
        <f t="array" ref="M196">IF(B196="","", INDEX(Ingredients!H:H, MATCH(B196, Ingredients!B:B,0)))</f>
        <v/>
      </c>
      <c r="N196" s="42"/>
      <c r="O196" s="42"/>
      <c r="P196" s="299"/>
      <c r="Q196" s="302" t="str">
        <f t="shared" si="1"/>
        <v/>
      </c>
      <c r="R196" s="42"/>
      <c r="S196" s="42"/>
      <c r="T196" s="44"/>
      <c r="U196" s="114"/>
      <c r="V196" s="101"/>
      <c r="W196" s="298"/>
      <c r="X196" s="42"/>
      <c r="Y196" s="42"/>
      <c r="Z196" s="42"/>
      <c r="AA196" s="299"/>
      <c r="AB196" s="300"/>
      <c r="AC196" s="42"/>
      <c r="AD196" s="299"/>
      <c r="AE196" s="301" t="str">
        <f t="array" ref="AE196">IF(W196="","", INDEX(Other!G:G, MATCH(W196, Other!B:B,0)))</f>
        <v/>
      </c>
      <c r="AF196" s="42"/>
      <c r="AG196" s="299"/>
      <c r="AH196" s="301" t="str">
        <f t="array" ref="AH196">IF(W196="","", INDEX(Other!H:H, MATCH(W196, Other!B:B,0)))</f>
        <v/>
      </c>
      <c r="AI196" s="42"/>
      <c r="AJ196" s="42"/>
      <c r="AK196" s="299"/>
      <c r="AL196" s="301" t="str">
        <f t="shared" si="2"/>
        <v/>
      </c>
      <c r="AM196" s="42"/>
      <c r="AN196" s="42"/>
      <c r="AO196" s="44"/>
      <c r="AP196" s="114"/>
      <c r="AQ196" s="83"/>
      <c r="AR196" s="83"/>
      <c r="AS196" s="83"/>
      <c r="AT196" s="83"/>
      <c r="AU196" s="83"/>
      <c r="AV196" s="83"/>
      <c r="AW196" s="83"/>
      <c r="AX196" s="83"/>
      <c r="AY196" s="83"/>
      <c r="AZ196" s="83"/>
      <c r="BA196" s="83"/>
      <c r="BB196" s="83"/>
    </row>
    <row r="197">
      <c r="A197" s="101"/>
      <c r="B197" s="298"/>
      <c r="C197" s="42"/>
      <c r="D197" s="42"/>
      <c r="E197" s="42"/>
      <c r="F197" s="299"/>
      <c r="G197" s="300"/>
      <c r="H197" s="42"/>
      <c r="I197" s="299"/>
      <c r="J197" s="301" t="str">
        <f t="array" ref="J197">IF(B197="","", INDEX(Ingredients!G:G, MATCH(B197, Ingredients!B:B,0)))</f>
        <v/>
      </c>
      <c r="K197" s="42"/>
      <c r="L197" s="299"/>
      <c r="M197" s="301" t="str">
        <f t="array" ref="M197">IF(B197="","", INDEX(Ingredients!H:H, MATCH(B197, Ingredients!B:B,0)))</f>
        <v/>
      </c>
      <c r="N197" s="42"/>
      <c r="O197" s="42"/>
      <c r="P197" s="299"/>
      <c r="Q197" s="302" t="str">
        <f t="shared" si="1"/>
        <v/>
      </c>
      <c r="R197" s="42"/>
      <c r="S197" s="42"/>
      <c r="T197" s="44"/>
      <c r="U197" s="114"/>
      <c r="V197" s="101"/>
      <c r="W197" s="298"/>
      <c r="X197" s="42"/>
      <c r="Y197" s="42"/>
      <c r="Z197" s="42"/>
      <c r="AA197" s="299"/>
      <c r="AB197" s="300"/>
      <c r="AC197" s="42"/>
      <c r="AD197" s="299"/>
      <c r="AE197" s="301" t="str">
        <f t="array" ref="AE197">IF(W197="","", INDEX(Other!G:G, MATCH(W197, Other!B:B,0)))</f>
        <v/>
      </c>
      <c r="AF197" s="42"/>
      <c r="AG197" s="299"/>
      <c r="AH197" s="301" t="str">
        <f t="array" ref="AH197">IF(W197="","", INDEX(Other!H:H, MATCH(W197, Other!B:B,0)))</f>
        <v/>
      </c>
      <c r="AI197" s="42"/>
      <c r="AJ197" s="42"/>
      <c r="AK197" s="299"/>
      <c r="AL197" s="301" t="str">
        <f t="shared" si="2"/>
        <v/>
      </c>
      <c r="AM197" s="42"/>
      <c r="AN197" s="42"/>
      <c r="AO197" s="44"/>
      <c r="AP197" s="114"/>
      <c r="AQ197" s="83"/>
      <c r="AR197" s="83"/>
      <c r="AS197" s="83"/>
      <c r="AT197" s="83"/>
      <c r="AU197" s="83"/>
      <c r="AV197" s="83"/>
      <c r="AW197" s="83"/>
      <c r="AX197" s="83"/>
      <c r="AY197" s="83"/>
      <c r="AZ197" s="83"/>
      <c r="BA197" s="83"/>
      <c r="BB197" s="83"/>
    </row>
    <row r="198">
      <c r="A198" s="101"/>
      <c r="B198" s="298"/>
      <c r="C198" s="42"/>
      <c r="D198" s="42"/>
      <c r="E198" s="42"/>
      <c r="F198" s="299"/>
      <c r="G198" s="300"/>
      <c r="H198" s="42"/>
      <c r="I198" s="299"/>
      <c r="J198" s="301" t="str">
        <f t="array" ref="J198">IF(B198="","", INDEX(Ingredients!G:G, MATCH(B198, Ingredients!B:B,0)))</f>
        <v/>
      </c>
      <c r="K198" s="42"/>
      <c r="L198" s="299"/>
      <c r="M198" s="301" t="str">
        <f t="array" ref="M198">IF(B198="","", INDEX(Ingredients!H:H, MATCH(B198, Ingredients!B:B,0)))</f>
        <v/>
      </c>
      <c r="N198" s="42"/>
      <c r="O198" s="42"/>
      <c r="P198" s="299"/>
      <c r="Q198" s="302" t="str">
        <f t="shared" si="1"/>
        <v/>
      </c>
      <c r="R198" s="42"/>
      <c r="S198" s="42"/>
      <c r="T198" s="44"/>
      <c r="U198" s="114"/>
      <c r="V198" s="101"/>
      <c r="W198" s="298"/>
      <c r="X198" s="42"/>
      <c r="Y198" s="42"/>
      <c r="Z198" s="42"/>
      <c r="AA198" s="299"/>
      <c r="AB198" s="300"/>
      <c r="AC198" s="42"/>
      <c r="AD198" s="299"/>
      <c r="AE198" s="301" t="str">
        <f t="array" ref="AE198">IF(W198="","", INDEX(Other!G:G, MATCH(W198, Other!B:B,0)))</f>
        <v/>
      </c>
      <c r="AF198" s="42"/>
      <c r="AG198" s="299"/>
      <c r="AH198" s="301" t="str">
        <f t="array" ref="AH198">IF(W198="","", INDEX(Other!H:H, MATCH(W198, Other!B:B,0)))</f>
        <v/>
      </c>
      <c r="AI198" s="42"/>
      <c r="AJ198" s="42"/>
      <c r="AK198" s="299"/>
      <c r="AL198" s="301" t="str">
        <f t="shared" si="2"/>
        <v/>
      </c>
      <c r="AM198" s="42"/>
      <c r="AN198" s="42"/>
      <c r="AO198" s="44"/>
      <c r="AP198" s="114"/>
      <c r="AQ198" s="83"/>
      <c r="AR198" s="83"/>
      <c r="AS198" s="83"/>
      <c r="AT198" s="83"/>
      <c r="AU198" s="83"/>
      <c r="AV198" s="83"/>
      <c r="AW198" s="83"/>
      <c r="AX198" s="83"/>
      <c r="AY198" s="83"/>
      <c r="AZ198" s="83"/>
      <c r="BA198" s="83"/>
      <c r="BB198" s="83"/>
    </row>
    <row r="199">
      <c r="A199" s="101"/>
      <c r="B199" s="298"/>
      <c r="C199" s="42"/>
      <c r="D199" s="42"/>
      <c r="E199" s="42"/>
      <c r="F199" s="299"/>
      <c r="G199" s="300"/>
      <c r="H199" s="42"/>
      <c r="I199" s="299"/>
      <c r="J199" s="301" t="str">
        <f t="array" ref="J199">IF(B199="","", INDEX(Ingredients!G:G, MATCH(B199, Ingredients!B:B,0)))</f>
        <v/>
      </c>
      <c r="K199" s="42"/>
      <c r="L199" s="299"/>
      <c r="M199" s="301" t="str">
        <f t="array" ref="M199">IF(B199="","", INDEX(Ingredients!H:H, MATCH(B199, Ingredients!B:B,0)))</f>
        <v/>
      </c>
      <c r="N199" s="42"/>
      <c r="O199" s="42"/>
      <c r="P199" s="299"/>
      <c r="Q199" s="302" t="str">
        <f t="shared" si="1"/>
        <v/>
      </c>
      <c r="R199" s="42"/>
      <c r="S199" s="42"/>
      <c r="T199" s="44"/>
      <c r="U199" s="114"/>
      <c r="V199" s="101"/>
      <c r="W199" s="298"/>
      <c r="X199" s="42"/>
      <c r="Y199" s="42"/>
      <c r="Z199" s="42"/>
      <c r="AA199" s="299"/>
      <c r="AB199" s="300"/>
      <c r="AC199" s="42"/>
      <c r="AD199" s="299"/>
      <c r="AE199" s="301" t="str">
        <f t="array" ref="AE199">IF(W199="","", INDEX(Other!G:G, MATCH(W199, Other!B:B,0)))</f>
        <v/>
      </c>
      <c r="AF199" s="42"/>
      <c r="AG199" s="299"/>
      <c r="AH199" s="301" t="str">
        <f t="array" ref="AH199">IF(W199="","", INDEX(Other!H:H, MATCH(W199, Other!B:B,0)))</f>
        <v/>
      </c>
      <c r="AI199" s="42"/>
      <c r="AJ199" s="42"/>
      <c r="AK199" s="299"/>
      <c r="AL199" s="301" t="str">
        <f t="shared" si="2"/>
        <v/>
      </c>
      <c r="AM199" s="42"/>
      <c r="AN199" s="42"/>
      <c r="AO199" s="44"/>
      <c r="AP199" s="114"/>
      <c r="AQ199" s="83"/>
      <c r="AR199" s="83"/>
      <c r="AS199" s="83"/>
      <c r="AT199" s="83"/>
      <c r="AU199" s="83"/>
      <c r="AV199" s="83"/>
      <c r="AW199" s="83"/>
      <c r="AX199" s="83"/>
      <c r="AY199" s="83"/>
      <c r="AZ199" s="83"/>
      <c r="BA199" s="83"/>
      <c r="BB199" s="83"/>
    </row>
    <row r="200">
      <c r="A200" s="101"/>
      <c r="B200" s="298"/>
      <c r="C200" s="42"/>
      <c r="D200" s="42"/>
      <c r="E200" s="42"/>
      <c r="F200" s="299"/>
      <c r="G200" s="300"/>
      <c r="H200" s="42"/>
      <c r="I200" s="299"/>
      <c r="J200" s="301" t="str">
        <f t="array" ref="J200">IF(B200="","", INDEX(Ingredients!G:G, MATCH(B200, Ingredients!B:B,0)))</f>
        <v/>
      </c>
      <c r="K200" s="42"/>
      <c r="L200" s="299"/>
      <c r="M200" s="301" t="str">
        <f t="array" ref="M200">IF(B200="","", INDEX(Ingredients!H:H, MATCH(B200, Ingredients!B:B,0)))</f>
        <v/>
      </c>
      <c r="N200" s="42"/>
      <c r="O200" s="42"/>
      <c r="P200" s="299"/>
      <c r="Q200" s="302" t="str">
        <f t="shared" si="1"/>
        <v/>
      </c>
      <c r="R200" s="42"/>
      <c r="S200" s="42"/>
      <c r="T200" s="44"/>
      <c r="U200" s="114"/>
      <c r="V200" s="101"/>
      <c r="W200" s="298"/>
      <c r="X200" s="42"/>
      <c r="Y200" s="42"/>
      <c r="Z200" s="42"/>
      <c r="AA200" s="299"/>
      <c r="AB200" s="300"/>
      <c r="AC200" s="42"/>
      <c r="AD200" s="299"/>
      <c r="AE200" s="301" t="str">
        <f t="array" ref="AE200">IF(W200="","", INDEX(Other!G:G, MATCH(W200, Other!B:B,0)))</f>
        <v/>
      </c>
      <c r="AF200" s="42"/>
      <c r="AG200" s="299"/>
      <c r="AH200" s="301" t="str">
        <f t="array" ref="AH200">IF(W200="","", INDEX(Other!H:H, MATCH(W200, Other!B:B,0)))</f>
        <v/>
      </c>
      <c r="AI200" s="42"/>
      <c r="AJ200" s="42"/>
      <c r="AK200" s="299"/>
      <c r="AL200" s="301" t="str">
        <f t="shared" si="2"/>
        <v/>
      </c>
      <c r="AM200" s="42"/>
      <c r="AN200" s="42"/>
      <c r="AO200" s="44"/>
      <c r="AP200" s="114"/>
      <c r="AQ200" s="83"/>
      <c r="AR200" s="83"/>
      <c r="AS200" s="83"/>
      <c r="AT200" s="83"/>
      <c r="AU200" s="83"/>
      <c r="AV200" s="83"/>
      <c r="AW200" s="83"/>
      <c r="AX200" s="83"/>
      <c r="AY200" s="83"/>
      <c r="AZ200" s="83"/>
      <c r="BA200" s="83"/>
      <c r="BB200" s="83"/>
    </row>
    <row r="201">
      <c r="A201" s="101"/>
      <c r="B201" s="298"/>
      <c r="C201" s="42"/>
      <c r="D201" s="42"/>
      <c r="E201" s="42"/>
      <c r="F201" s="299"/>
      <c r="G201" s="300"/>
      <c r="H201" s="42"/>
      <c r="I201" s="299"/>
      <c r="J201" s="301" t="str">
        <f t="array" ref="J201">IF(B201="","", INDEX(Ingredients!G:G, MATCH(B201, Ingredients!B:B,0)))</f>
        <v/>
      </c>
      <c r="K201" s="42"/>
      <c r="L201" s="299"/>
      <c r="M201" s="301" t="str">
        <f t="array" ref="M201">IF(B201="","", INDEX(Ingredients!H:H, MATCH(B201, Ingredients!B:B,0)))</f>
        <v/>
      </c>
      <c r="N201" s="42"/>
      <c r="O201" s="42"/>
      <c r="P201" s="299"/>
      <c r="Q201" s="302" t="str">
        <f t="shared" si="1"/>
        <v/>
      </c>
      <c r="R201" s="42"/>
      <c r="S201" s="42"/>
      <c r="T201" s="44"/>
      <c r="U201" s="114"/>
      <c r="V201" s="101"/>
      <c r="W201" s="298"/>
      <c r="X201" s="42"/>
      <c r="Y201" s="42"/>
      <c r="Z201" s="42"/>
      <c r="AA201" s="299"/>
      <c r="AB201" s="300"/>
      <c r="AC201" s="42"/>
      <c r="AD201" s="299"/>
      <c r="AE201" s="301" t="str">
        <f t="array" ref="AE201">IF(W201="","", INDEX(Other!G:G, MATCH(W201, Other!B:B,0)))</f>
        <v/>
      </c>
      <c r="AF201" s="42"/>
      <c r="AG201" s="299"/>
      <c r="AH201" s="301" t="str">
        <f t="array" ref="AH201">IF(W201="","", INDEX(Other!H:H, MATCH(W201, Other!B:B,0)))</f>
        <v/>
      </c>
      <c r="AI201" s="42"/>
      <c r="AJ201" s="42"/>
      <c r="AK201" s="299"/>
      <c r="AL201" s="301" t="str">
        <f t="shared" si="2"/>
        <v/>
      </c>
      <c r="AM201" s="42"/>
      <c r="AN201" s="42"/>
      <c r="AO201" s="44"/>
      <c r="AP201" s="114"/>
      <c r="AQ201" s="83"/>
      <c r="AR201" s="83"/>
      <c r="AS201" s="83"/>
      <c r="AT201" s="83"/>
      <c r="AU201" s="83"/>
      <c r="AV201" s="83"/>
      <c r="AW201" s="83"/>
      <c r="AX201" s="83"/>
      <c r="AY201" s="83"/>
      <c r="AZ201" s="83"/>
      <c r="BA201" s="83"/>
      <c r="BB201" s="83"/>
    </row>
    <row r="202">
      <c r="A202" s="101"/>
      <c r="B202" s="298"/>
      <c r="C202" s="42"/>
      <c r="D202" s="42"/>
      <c r="E202" s="42"/>
      <c r="F202" s="299"/>
      <c r="G202" s="300"/>
      <c r="H202" s="42"/>
      <c r="I202" s="299"/>
      <c r="J202" s="301" t="str">
        <f t="array" ref="J202">IF(B202="","", INDEX(Ingredients!G:G, MATCH(B202, Ingredients!B:B,0)))</f>
        <v/>
      </c>
      <c r="K202" s="42"/>
      <c r="L202" s="299"/>
      <c r="M202" s="301" t="str">
        <f t="array" ref="M202">IF(B202="","", INDEX(Ingredients!H:H, MATCH(B202, Ingredients!B:B,0)))</f>
        <v/>
      </c>
      <c r="N202" s="42"/>
      <c r="O202" s="42"/>
      <c r="P202" s="299"/>
      <c r="Q202" s="302" t="str">
        <f t="shared" si="1"/>
        <v/>
      </c>
      <c r="R202" s="42"/>
      <c r="S202" s="42"/>
      <c r="T202" s="44"/>
      <c r="U202" s="114"/>
      <c r="V202" s="101"/>
      <c r="W202" s="298"/>
      <c r="X202" s="42"/>
      <c r="Y202" s="42"/>
      <c r="Z202" s="42"/>
      <c r="AA202" s="299"/>
      <c r="AB202" s="300"/>
      <c r="AC202" s="42"/>
      <c r="AD202" s="299"/>
      <c r="AE202" s="301" t="str">
        <f t="array" ref="AE202">IF(W202="","", INDEX(Other!G:G, MATCH(W202, Other!B:B,0)))</f>
        <v/>
      </c>
      <c r="AF202" s="42"/>
      <c r="AG202" s="299"/>
      <c r="AH202" s="301" t="str">
        <f t="array" ref="AH202">IF(W202="","", INDEX(Other!H:H, MATCH(W202, Other!B:B,0)))</f>
        <v/>
      </c>
      <c r="AI202" s="42"/>
      <c r="AJ202" s="42"/>
      <c r="AK202" s="299"/>
      <c r="AL202" s="301" t="str">
        <f t="shared" si="2"/>
        <v/>
      </c>
      <c r="AM202" s="42"/>
      <c r="AN202" s="42"/>
      <c r="AO202" s="44"/>
      <c r="AP202" s="114"/>
      <c r="AQ202" s="83"/>
      <c r="AR202" s="83"/>
      <c r="AS202" s="83"/>
      <c r="AT202" s="83"/>
      <c r="AU202" s="83"/>
      <c r="AV202" s="83"/>
      <c r="AW202" s="83"/>
      <c r="AX202" s="83"/>
      <c r="AY202" s="83"/>
      <c r="AZ202" s="83"/>
      <c r="BA202" s="83"/>
      <c r="BB202" s="83"/>
    </row>
    <row r="203">
      <c r="A203" s="101"/>
      <c r="B203" s="298"/>
      <c r="C203" s="42"/>
      <c r="D203" s="42"/>
      <c r="E203" s="42"/>
      <c r="F203" s="299"/>
      <c r="G203" s="300"/>
      <c r="H203" s="42"/>
      <c r="I203" s="299"/>
      <c r="J203" s="301" t="str">
        <f t="array" ref="J203">IF(B203="","", INDEX(Ingredients!G:G, MATCH(B203, Ingredients!B:B,0)))</f>
        <v/>
      </c>
      <c r="K203" s="42"/>
      <c r="L203" s="299"/>
      <c r="M203" s="301" t="str">
        <f t="array" ref="M203">IF(B203="","", INDEX(Ingredients!H:H, MATCH(B203, Ingredients!B:B,0)))</f>
        <v/>
      </c>
      <c r="N203" s="42"/>
      <c r="O203" s="42"/>
      <c r="P203" s="299"/>
      <c r="Q203" s="302" t="str">
        <f t="shared" si="1"/>
        <v/>
      </c>
      <c r="R203" s="42"/>
      <c r="S203" s="42"/>
      <c r="T203" s="44"/>
      <c r="U203" s="114"/>
      <c r="V203" s="101"/>
      <c r="W203" s="298"/>
      <c r="X203" s="42"/>
      <c r="Y203" s="42"/>
      <c r="Z203" s="42"/>
      <c r="AA203" s="299"/>
      <c r="AB203" s="300"/>
      <c r="AC203" s="42"/>
      <c r="AD203" s="299"/>
      <c r="AE203" s="301" t="str">
        <f t="array" ref="AE203">IF(W203="","", INDEX(Other!G:G, MATCH(W203, Other!B:B,0)))</f>
        <v/>
      </c>
      <c r="AF203" s="42"/>
      <c r="AG203" s="299"/>
      <c r="AH203" s="301" t="str">
        <f t="array" ref="AH203">IF(W203="","", INDEX(Other!H:H, MATCH(W203, Other!B:B,0)))</f>
        <v/>
      </c>
      <c r="AI203" s="42"/>
      <c r="AJ203" s="42"/>
      <c r="AK203" s="299"/>
      <c r="AL203" s="301" t="str">
        <f t="shared" si="2"/>
        <v/>
      </c>
      <c r="AM203" s="42"/>
      <c r="AN203" s="42"/>
      <c r="AO203" s="44"/>
      <c r="AP203" s="114"/>
      <c r="AQ203" s="83"/>
      <c r="AR203" s="83"/>
      <c r="AS203" s="83"/>
      <c r="AT203" s="83"/>
      <c r="AU203" s="83"/>
      <c r="AV203" s="83"/>
      <c r="AW203" s="83"/>
      <c r="AX203" s="83"/>
      <c r="AY203" s="83"/>
      <c r="AZ203" s="83"/>
      <c r="BA203" s="83"/>
      <c r="BB203" s="83"/>
    </row>
    <row r="204">
      <c r="A204" s="101"/>
      <c r="B204" s="298"/>
      <c r="C204" s="42"/>
      <c r="D204" s="42"/>
      <c r="E204" s="42"/>
      <c r="F204" s="299"/>
      <c r="G204" s="300"/>
      <c r="H204" s="42"/>
      <c r="I204" s="299"/>
      <c r="J204" s="301" t="str">
        <f t="array" ref="J204">IF(B204="","", INDEX(Ingredients!G:G, MATCH(B204, Ingredients!B:B,0)))</f>
        <v/>
      </c>
      <c r="K204" s="42"/>
      <c r="L204" s="299"/>
      <c r="M204" s="301" t="str">
        <f t="array" ref="M204">IF(B204="","", INDEX(Ingredients!H:H, MATCH(B204, Ingredients!B:B,0)))</f>
        <v/>
      </c>
      <c r="N204" s="42"/>
      <c r="O204" s="42"/>
      <c r="P204" s="299"/>
      <c r="Q204" s="302" t="str">
        <f t="shared" si="1"/>
        <v/>
      </c>
      <c r="R204" s="42"/>
      <c r="S204" s="42"/>
      <c r="T204" s="44"/>
      <c r="U204" s="114"/>
      <c r="V204" s="101"/>
      <c r="W204" s="298"/>
      <c r="X204" s="42"/>
      <c r="Y204" s="42"/>
      <c r="Z204" s="42"/>
      <c r="AA204" s="299"/>
      <c r="AB204" s="300"/>
      <c r="AC204" s="42"/>
      <c r="AD204" s="299"/>
      <c r="AE204" s="301" t="str">
        <f t="array" ref="AE204">IF(W204="","", INDEX(Other!G:G, MATCH(W204, Other!B:B,0)))</f>
        <v/>
      </c>
      <c r="AF204" s="42"/>
      <c r="AG204" s="299"/>
      <c r="AH204" s="301" t="str">
        <f t="array" ref="AH204">IF(W204="","", INDEX(Other!H:H, MATCH(W204, Other!B:B,0)))</f>
        <v/>
      </c>
      <c r="AI204" s="42"/>
      <c r="AJ204" s="42"/>
      <c r="AK204" s="299"/>
      <c r="AL204" s="301" t="str">
        <f t="shared" si="2"/>
        <v/>
      </c>
      <c r="AM204" s="42"/>
      <c r="AN204" s="42"/>
      <c r="AO204" s="44"/>
      <c r="AP204" s="114"/>
      <c r="AQ204" s="83"/>
      <c r="AR204" s="83"/>
      <c r="AS204" s="83"/>
      <c r="AT204" s="83"/>
      <c r="AU204" s="83"/>
      <c r="AV204" s="83"/>
      <c r="AW204" s="83"/>
      <c r="AX204" s="83"/>
      <c r="AY204" s="83"/>
      <c r="AZ204" s="83"/>
      <c r="BA204" s="83"/>
      <c r="BB204" s="83"/>
    </row>
    <row r="205">
      <c r="A205" s="101"/>
      <c r="B205" s="298"/>
      <c r="C205" s="42"/>
      <c r="D205" s="42"/>
      <c r="E205" s="42"/>
      <c r="F205" s="299"/>
      <c r="G205" s="300"/>
      <c r="H205" s="42"/>
      <c r="I205" s="299"/>
      <c r="J205" s="301" t="str">
        <f t="array" ref="J205">IF(B205="","", INDEX(Ingredients!G:G, MATCH(B205, Ingredients!B:B,0)))</f>
        <v/>
      </c>
      <c r="K205" s="42"/>
      <c r="L205" s="299"/>
      <c r="M205" s="301" t="str">
        <f t="array" ref="M205">IF(B205="","", INDEX(Ingredients!H:H, MATCH(B205, Ingredients!B:B,0)))</f>
        <v/>
      </c>
      <c r="N205" s="42"/>
      <c r="O205" s="42"/>
      <c r="P205" s="299"/>
      <c r="Q205" s="302" t="str">
        <f t="shared" si="1"/>
        <v/>
      </c>
      <c r="R205" s="42"/>
      <c r="S205" s="42"/>
      <c r="T205" s="44"/>
      <c r="U205" s="114"/>
      <c r="V205" s="101"/>
      <c r="W205" s="298"/>
      <c r="X205" s="42"/>
      <c r="Y205" s="42"/>
      <c r="Z205" s="42"/>
      <c r="AA205" s="299"/>
      <c r="AB205" s="300"/>
      <c r="AC205" s="42"/>
      <c r="AD205" s="299"/>
      <c r="AE205" s="301" t="str">
        <f t="array" ref="AE205">IF(W205="","", INDEX(Other!G:G, MATCH(W205, Other!B:B,0)))</f>
        <v/>
      </c>
      <c r="AF205" s="42"/>
      <c r="AG205" s="299"/>
      <c r="AH205" s="301" t="str">
        <f t="array" ref="AH205">IF(W205="","", INDEX(Other!H:H, MATCH(W205, Other!B:B,0)))</f>
        <v/>
      </c>
      <c r="AI205" s="42"/>
      <c r="AJ205" s="42"/>
      <c r="AK205" s="299"/>
      <c r="AL205" s="301" t="str">
        <f t="shared" si="2"/>
        <v/>
      </c>
      <c r="AM205" s="42"/>
      <c r="AN205" s="42"/>
      <c r="AO205" s="44"/>
      <c r="AP205" s="114"/>
      <c r="AQ205" s="83"/>
      <c r="AR205" s="83"/>
      <c r="AS205" s="83"/>
      <c r="AT205" s="83"/>
      <c r="AU205" s="83"/>
      <c r="AV205" s="83"/>
      <c r="AW205" s="83"/>
      <c r="AX205" s="83"/>
      <c r="AY205" s="83"/>
      <c r="AZ205" s="83"/>
      <c r="BA205" s="83"/>
      <c r="BB205" s="83"/>
    </row>
    <row r="206">
      <c r="A206" s="101"/>
      <c r="B206" s="298"/>
      <c r="C206" s="42"/>
      <c r="D206" s="42"/>
      <c r="E206" s="42"/>
      <c r="F206" s="299"/>
      <c r="G206" s="300"/>
      <c r="H206" s="42"/>
      <c r="I206" s="299"/>
      <c r="J206" s="301" t="str">
        <f t="array" ref="J206">IF(B206="","", INDEX(Ingredients!G:G, MATCH(B206, Ingredients!B:B,0)))</f>
        <v/>
      </c>
      <c r="K206" s="42"/>
      <c r="L206" s="299"/>
      <c r="M206" s="301" t="str">
        <f t="array" ref="M206">IF(B206="","", INDEX(Ingredients!H:H, MATCH(B206, Ingredients!B:B,0)))</f>
        <v/>
      </c>
      <c r="N206" s="42"/>
      <c r="O206" s="42"/>
      <c r="P206" s="299"/>
      <c r="Q206" s="302" t="str">
        <f t="shared" si="1"/>
        <v/>
      </c>
      <c r="R206" s="42"/>
      <c r="S206" s="42"/>
      <c r="T206" s="44"/>
      <c r="U206" s="114"/>
      <c r="V206" s="101"/>
      <c r="W206" s="298"/>
      <c r="X206" s="42"/>
      <c r="Y206" s="42"/>
      <c r="Z206" s="42"/>
      <c r="AA206" s="299"/>
      <c r="AB206" s="300"/>
      <c r="AC206" s="42"/>
      <c r="AD206" s="299"/>
      <c r="AE206" s="301" t="str">
        <f t="array" ref="AE206">IF(W206="","", INDEX(Other!G:G, MATCH(W206, Other!B:B,0)))</f>
        <v/>
      </c>
      <c r="AF206" s="42"/>
      <c r="AG206" s="299"/>
      <c r="AH206" s="301" t="str">
        <f t="array" ref="AH206">IF(W206="","", INDEX(Other!H:H, MATCH(W206, Other!B:B,0)))</f>
        <v/>
      </c>
      <c r="AI206" s="42"/>
      <c r="AJ206" s="42"/>
      <c r="AK206" s="299"/>
      <c r="AL206" s="301" t="str">
        <f t="shared" si="2"/>
        <v/>
      </c>
      <c r="AM206" s="42"/>
      <c r="AN206" s="42"/>
      <c r="AO206" s="44"/>
      <c r="AP206" s="114"/>
      <c r="AQ206" s="83"/>
      <c r="AR206" s="83"/>
      <c r="AS206" s="83"/>
      <c r="AT206" s="83"/>
      <c r="AU206" s="83"/>
      <c r="AV206" s="83"/>
      <c r="AW206" s="83"/>
      <c r="AX206" s="83"/>
      <c r="AY206" s="83"/>
      <c r="AZ206" s="83"/>
      <c r="BA206" s="83"/>
      <c r="BB206" s="83"/>
    </row>
    <row r="207">
      <c r="A207" s="101"/>
      <c r="B207" s="298"/>
      <c r="C207" s="42"/>
      <c r="D207" s="42"/>
      <c r="E207" s="42"/>
      <c r="F207" s="299"/>
      <c r="G207" s="300"/>
      <c r="H207" s="42"/>
      <c r="I207" s="299"/>
      <c r="J207" s="301" t="str">
        <f t="array" ref="J207">IF(B207="","", INDEX(Ingredients!G:G, MATCH(B207, Ingredients!B:B,0)))</f>
        <v/>
      </c>
      <c r="K207" s="42"/>
      <c r="L207" s="299"/>
      <c r="M207" s="301" t="str">
        <f t="array" ref="M207">IF(B207="","", INDEX(Ingredients!H:H, MATCH(B207, Ingredients!B:B,0)))</f>
        <v/>
      </c>
      <c r="N207" s="42"/>
      <c r="O207" s="42"/>
      <c r="P207" s="299"/>
      <c r="Q207" s="302" t="str">
        <f t="shared" si="1"/>
        <v/>
      </c>
      <c r="R207" s="42"/>
      <c r="S207" s="42"/>
      <c r="T207" s="44"/>
      <c r="U207" s="114"/>
      <c r="V207" s="101"/>
      <c r="W207" s="298"/>
      <c r="X207" s="42"/>
      <c r="Y207" s="42"/>
      <c r="Z207" s="42"/>
      <c r="AA207" s="299"/>
      <c r="AB207" s="300"/>
      <c r="AC207" s="42"/>
      <c r="AD207" s="299"/>
      <c r="AE207" s="301" t="str">
        <f t="array" ref="AE207">IF(W207="","", INDEX(Other!G:G, MATCH(W207, Other!B:B,0)))</f>
        <v/>
      </c>
      <c r="AF207" s="42"/>
      <c r="AG207" s="299"/>
      <c r="AH207" s="301" t="str">
        <f t="array" ref="AH207">IF(W207="","", INDEX(Other!H:H, MATCH(W207, Other!B:B,0)))</f>
        <v/>
      </c>
      <c r="AI207" s="42"/>
      <c r="AJ207" s="42"/>
      <c r="AK207" s="299"/>
      <c r="AL207" s="301" t="str">
        <f t="shared" si="2"/>
        <v/>
      </c>
      <c r="AM207" s="42"/>
      <c r="AN207" s="42"/>
      <c r="AO207" s="44"/>
      <c r="AP207" s="114"/>
      <c r="AQ207" s="83"/>
      <c r="AR207" s="83"/>
      <c r="AS207" s="83"/>
      <c r="AT207" s="83"/>
      <c r="AU207" s="83"/>
      <c r="AV207" s="83"/>
      <c r="AW207" s="83"/>
      <c r="AX207" s="83"/>
      <c r="AY207" s="83"/>
      <c r="AZ207" s="83"/>
      <c r="BA207" s="83"/>
      <c r="BB207" s="83"/>
    </row>
    <row r="208">
      <c r="A208" s="101"/>
      <c r="B208" s="298"/>
      <c r="C208" s="42"/>
      <c r="D208" s="42"/>
      <c r="E208" s="42"/>
      <c r="F208" s="299"/>
      <c r="G208" s="300"/>
      <c r="H208" s="42"/>
      <c r="I208" s="299"/>
      <c r="J208" s="301" t="str">
        <f t="array" ref="J208">IF(B208="","", INDEX(Ingredients!G:G, MATCH(B208, Ingredients!B:B,0)))</f>
        <v/>
      </c>
      <c r="K208" s="42"/>
      <c r="L208" s="299"/>
      <c r="M208" s="301" t="str">
        <f t="array" ref="M208">IF(B208="","", INDEX(Ingredients!H:H, MATCH(B208, Ingredients!B:B,0)))</f>
        <v/>
      </c>
      <c r="N208" s="42"/>
      <c r="O208" s="42"/>
      <c r="P208" s="299"/>
      <c r="Q208" s="302" t="str">
        <f t="shared" si="1"/>
        <v/>
      </c>
      <c r="R208" s="42"/>
      <c r="S208" s="42"/>
      <c r="T208" s="44"/>
      <c r="U208" s="114"/>
      <c r="V208" s="101"/>
      <c r="W208" s="298"/>
      <c r="X208" s="42"/>
      <c r="Y208" s="42"/>
      <c r="Z208" s="42"/>
      <c r="AA208" s="299"/>
      <c r="AB208" s="300"/>
      <c r="AC208" s="42"/>
      <c r="AD208" s="299"/>
      <c r="AE208" s="301" t="str">
        <f t="array" ref="AE208">IF(W208="","", INDEX(Other!G:G, MATCH(W208, Other!B:B,0)))</f>
        <v/>
      </c>
      <c r="AF208" s="42"/>
      <c r="AG208" s="299"/>
      <c r="AH208" s="301" t="str">
        <f t="array" ref="AH208">IF(W208="","", INDEX(Other!H:H, MATCH(W208, Other!B:B,0)))</f>
        <v/>
      </c>
      <c r="AI208" s="42"/>
      <c r="AJ208" s="42"/>
      <c r="AK208" s="299"/>
      <c r="AL208" s="301" t="str">
        <f t="shared" si="2"/>
        <v/>
      </c>
      <c r="AM208" s="42"/>
      <c r="AN208" s="42"/>
      <c r="AO208" s="44"/>
      <c r="AP208" s="114"/>
      <c r="AQ208" s="83"/>
      <c r="AR208" s="83"/>
      <c r="AS208" s="83"/>
      <c r="AT208" s="83"/>
      <c r="AU208" s="83"/>
      <c r="AV208" s="83"/>
      <c r="AW208" s="83"/>
      <c r="AX208" s="83"/>
      <c r="AY208" s="83"/>
      <c r="AZ208" s="83"/>
      <c r="BA208" s="83"/>
      <c r="BB208" s="83"/>
    </row>
    <row r="209">
      <c r="A209" s="101"/>
      <c r="B209" s="298"/>
      <c r="C209" s="42"/>
      <c r="D209" s="42"/>
      <c r="E209" s="42"/>
      <c r="F209" s="299"/>
      <c r="G209" s="300"/>
      <c r="H209" s="42"/>
      <c r="I209" s="299"/>
      <c r="J209" s="301" t="str">
        <f t="array" ref="J209">IF(B209="","", INDEX(Ingredients!G:G, MATCH(B209, Ingredients!B:B,0)))</f>
        <v/>
      </c>
      <c r="K209" s="42"/>
      <c r="L209" s="299"/>
      <c r="M209" s="301" t="str">
        <f t="array" ref="M209">IF(B209="","", INDEX(Ingredients!H:H, MATCH(B209, Ingredients!B:B,0)))</f>
        <v/>
      </c>
      <c r="N209" s="42"/>
      <c r="O209" s="42"/>
      <c r="P209" s="299"/>
      <c r="Q209" s="302" t="str">
        <f t="shared" si="1"/>
        <v/>
      </c>
      <c r="R209" s="42"/>
      <c r="S209" s="42"/>
      <c r="T209" s="44"/>
      <c r="U209" s="114"/>
      <c r="V209" s="101"/>
      <c r="W209" s="298"/>
      <c r="X209" s="42"/>
      <c r="Y209" s="42"/>
      <c r="Z209" s="42"/>
      <c r="AA209" s="299"/>
      <c r="AB209" s="300"/>
      <c r="AC209" s="42"/>
      <c r="AD209" s="299"/>
      <c r="AE209" s="301" t="str">
        <f t="array" ref="AE209">IF(W209="","", INDEX(Other!G:G, MATCH(W209, Other!B:B,0)))</f>
        <v/>
      </c>
      <c r="AF209" s="42"/>
      <c r="AG209" s="299"/>
      <c r="AH209" s="301" t="str">
        <f t="array" ref="AH209">IF(W209="","", INDEX(Other!H:H, MATCH(W209, Other!B:B,0)))</f>
        <v/>
      </c>
      <c r="AI209" s="42"/>
      <c r="AJ209" s="42"/>
      <c r="AK209" s="299"/>
      <c r="AL209" s="301" t="str">
        <f t="shared" si="2"/>
        <v/>
      </c>
      <c r="AM209" s="42"/>
      <c r="AN209" s="42"/>
      <c r="AO209" s="44"/>
      <c r="AP209" s="114"/>
      <c r="AQ209" s="83"/>
      <c r="AR209" s="83"/>
      <c r="AS209" s="83"/>
      <c r="AT209" s="83"/>
      <c r="AU209" s="83"/>
      <c r="AV209" s="83"/>
      <c r="AW209" s="83"/>
      <c r="AX209" s="83"/>
      <c r="AY209" s="83"/>
      <c r="AZ209" s="83"/>
      <c r="BA209" s="83"/>
      <c r="BB209" s="83"/>
    </row>
    <row r="210">
      <c r="A210" s="101"/>
      <c r="B210" s="298"/>
      <c r="C210" s="42"/>
      <c r="D210" s="42"/>
      <c r="E210" s="42"/>
      <c r="F210" s="299"/>
      <c r="G210" s="300"/>
      <c r="H210" s="42"/>
      <c r="I210" s="299"/>
      <c r="J210" s="301" t="str">
        <f t="array" ref="J210">IF(B210="","", INDEX(Ingredients!G:G, MATCH(B210, Ingredients!B:B,0)))</f>
        <v/>
      </c>
      <c r="K210" s="42"/>
      <c r="L210" s="299"/>
      <c r="M210" s="301" t="str">
        <f t="array" ref="M210">IF(B210="","", INDEX(Ingredients!H:H, MATCH(B210, Ingredients!B:B,0)))</f>
        <v/>
      </c>
      <c r="N210" s="42"/>
      <c r="O210" s="42"/>
      <c r="P210" s="299"/>
      <c r="Q210" s="302" t="str">
        <f t="shared" si="1"/>
        <v/>
      </c>
      <c r="R210" s="42"/>
      <c r="S210" s="42"/>
      <c r="T210" s="44"/>
      <c r="U210" s="114"/>
      <c r="V210" s="101"/>
      <c r="W210" s="298"/>
      <c r="X210" s="42"/>
      <c r="Y210" s="42"/>
      <c r="Z210" s="42"/>
      <c r="AA210" s="299"/>
      <c r="AB210" s="300"/>
      <c r="AC210" s="42"/>
      <c r="AD210" s="299"/>
      <c r="AE210" s="301" t="str">
        <f t="array" ref="AE210">IF(W210="","", INDEX(Other!G:G, MATCH(W210, Other!B:B,0)))</f>
        <v/>
      </c>
      <c r="AF210" s="42"/>
      <c r="AG210" s="299"/>
      <c r="AH210" s="301" t="str">
        <f t="array" ref="AH210">IF(W210="","", INDEX(Other!H:H, MATCH(W210, Other!B:B,0)))</f>
        <v/>
      </c>
      <c r="AI210" s="42"/>
      <c r="AJ210" s="42"/>
      <c r="AK210" s="299"/>
      <c r="AL210" s="301" t="str">
        <f t="shared" si="2"/>
        <v/>
      </c>
      <c r="AM210" s="42"/>
      <c r="AN210" s="42"/>
      <c r="AO210" s="44"/>
      <c r="AP210" s="114"/>
      <c r="AQ210" s="83"/>
      <c r="AR210" s="83"/>
      <c r="AS210" s="83"/>
      <c r="AT210" s="83"/>
      <c r="AU210" s="83"/>
      <c r="AV210" s="83"/>
      <c r="AW210" s="83"/>
      <c r="AX210" s="83"/>
      <c r="AY210" s="83"/>
      <c r="AZ210" s="83"/>
      <c r="BA210" s="83"/>
      <c r="BB210" s="83"/>
    </row>
    <row r="211">
      <c r="A211" s="101"/>
      <c r="B211" s="298"/>
      <c r="C211" s="42"/>
      <c r="D211" s="42"/>
      <c r="E211" s="42"/>
      <c r="F211" s="299"/>
      <c r="G211" s="300"/>
      <c r="H211" s="42"/>
      <c r="I211" s="299"/>
      <c r="J211" s="301" t="str">
        <f t="array" ref="J211">IF(B211="","", INDEX(Ingredients!G:G, MATCH(B211, Ingredients!B:B,0)))</f>
        <v/>
      </c>
      <c r="K211" s="42"/>
      <c r="L211" s="299"/>
      <c r="M211" s="301" t="str">
        <f t="array" ref="M211">IF(B211="","", INDEX(Ingredients!H:H, MATCH(B211, Ingredients!B:B,0)))</f>
        <v/>
      </c>
      <c r="N211" s="42"/>
      <c r="O211" s="42"/>
      <c r="P211" s="299"/>
      <c r="Q211" s="302" t="str">
        <f t="shared" si="1"/>
        <v/>
      </c>
      <c r="R211" s="42"/>
      <c r="S211" s="42"/>
      <c r="T211" s="44"/>
      <c r="U211" s="114"/>
      <c r="V211" s="101"/>
      <c r="W211" s="298"/>
      <c r="X211" s="42"/>
      <c r="Y211" s="42"/>
      <c r="Z211" s="42"/>
      <c r="AA211" s="299"/>
      <c r="AB211" s="300"/>
      <c r="AC211" s="42"/>
      <c r="AD211" s="299"/>
      <c r="AE211" s="301" t="str">
        <f t="array" ref="AE211">IF(W211="","", INDEX(Other!G:G, MATCH(W211, Other!B:B,0)))</f>
        <v/>
      </c>
      <c r="AF211" s="42"/>
      <c r="AG211" s="299"/>
      <c r="AH211" s="301" t="str">
        <f t="array" ref="AH211">IF(W211="","", INDEX(Other!H:H, MATCH(W211, Other!B:B,0)))</f>
        <v/>
      </c>
      <c r="AI211" s="42"/>
      <c r="AJ211" s="42"/>
      <c r="AK211" s="299"/>
      <c r="AL211" s="301" t="str">
        <f t="shared" si="2"/>
        <v/>
      </c>
      <c r="AM211" s="42"/>
      <c r="AN211" s="42"/>
      <c r="AO211" s="44"/>
      <c r="AP211" s="114"/>
      <c r="AQ211" s="83"/>
      <c r="AR211" s="83"/>
      <c r="AS211" s="83"/>
      <c r="AT211" s="83"/>
      <c r="AU211" s="83"/>
      <c r="AV211" s="83"/>
      <c r="AW211" s="83"/>
      <c r="AX211" s="83"/>
      <c r="AY211" s="83"/>
      <c r="AZ211" s="83"/>
      <c r="BA211" s="83"/>
      <c r="BB211" s="83"/>
    </row>
    <row r="212">
      <c r="A212" s="101"/>
      <c r="B212" s="298"/>
      <c r="C212" s="42"/>
      <c r="D212" s="42"/>
      <c r="E212" s="42"/>
      <c r="F212" s="299"/>
      <c r="G212" s="300"/>
      <c r="H212" s="42"/>
      <c r="I212" s="299"/>
      <c r="J212" s="301" t="str">
        <f t="array" ref="J212">IF(B212="","", INDEX(Ingredients!G:G, MATCH(B212, Ingredients!B:B,0)))</f>
        <v/>
      </c>
      <c r="K212" s="42"/>
      <c r="L212" s="299"/>
      <c r="M212" s="301" t="str">
        <f t="array" ref="M212">IF(B212="","", INDEX(Ingredients!H:H, MATCH(B212, Ingredients!B:B,0)))</f>
        <v/>
      </c>
      <c r="N212" s="42"/>
      <c r="O212" s="42"/>
      <c r="P212" s="299"/>
      <c r="Q212" s="302" t="str">
        <f t="shared" si="1"/>
        <v/>
      </c>
      <c r="R212" s="42"/>
      <c r="S212" s="42"/>
      <c r="T212" s="44"/>
      <c r="U212" s="114"/>
      <c r="V212" s="101"/>
      <c r="W212" s="298"/>
      <c r="X212" s="42"/>
      <c r="Y212" s="42"/>
      <c r="Z212" s="42"/>
      <c r="AA212" s="299"/>
      <c r="AB212" s="300"/>
      <c r="AC212" s="42"/>
      <c r="AD212" s="299"/>
      <c r="AE212" s="301" t="str">
        <f t="array" ref="AE212">IF(W212="","", INDEX(Other!G:G, MATCH(W212, Other!B:B,0)))</f>
        <v/>
      </c>
      <c r="AF212" s="42"/>
      <c r="AG212" s="299"/>
      <c r="AH212" s="301" t="str">
        <f t="array" ref="AH212">IF(W212="","", INDEX(Other!H:H, MATCH(W212, Other!B:B,0)))</f>
        <v/>
      </c>
      <c r="AI212" s="42"/>
      <c r="AJ212" s="42"/>
      <c r="AK212" s="299"/>
      <c r="AL212" s="301" t="str">
        <f t="shared" si="2"/>
        <v/>
      </c>
      <c r="AM212" s="42"/>
      <c r="AN212" s="42"/>
      <c r="AO212" s="44"/>
      <c r="AP212" s="114"/>
      <c r="AQ212" s="83"/>
      <c r="AR212" s="83"/>
      <c r="AS212" s="83"/>
      <c r="AT212" s="83"/>
      <c r="AU212" s="83"/>
      <c r="AV212" s="83"/>
      <c r="AW212" s="83"/>
      <c r="AX212" s="83"/>
      <c r="AY212" s="83"/>
      <c r="AZ212" s="83"/>
      <c r="BA212" s="83"/>
      <c r="BB212" s="83"/>
    </row>
    <row r="213">
      <c r="A213" s="101"/>
      <c r="B213" s="298"/>
      <c r="C213" s="42"/>
      <c r="D213" s="42"/>
      <c r="E213" s="42"/>
      <c r="F213" s="299"/>
      <c r="G213" s="300"/>
      <c r="H213" s="42"/>
      <c r="I213" s="299"/>
      <c r="J213" s="301" t="str">
        <f t="array" ref="J213">IF(B213="","", INDEX(Ingredients!G:G, MATCH(B213, Ingredients!B:B,0)))</f>
        <v/>
      </c>
      <c r="K213" s="42"/>
      <c r="L213" s="299"/>
      <c r="M213" s="301" t="str">
        <f t="array" ref="M213">IF(B213="","", INDEX(Ingredients!H:H, MATCH(B213, Ingredients!B:B,0)))</f>
        <v/>
      </c>
      <c r="N213" s="42"/>
      <c r="O213" s="42"/>
      <c r="P213" s="299"/>
      <c r="Q213" s="302" t="str">
        <f t="shared" si="1"/>
        <v/>
      </c>
      <c r="R213" s="42"/>
      <c r="S213" s="42"/>
      <c r="T213" s="44"/>
      <c r="U213" s="114"/>
      <c r="V213" s="101"/>
      <c r="W213" s="298"/>
      <c r="X213" s="42"/>
      <c r="Y213" s="42"/>
      <c r="Z213" s="42"/>
      <c r="AA213" s="299"/>
      <c r="AB213" s="300"/>
      <c r="AC213" s="42"/>
      <c r="AD213" s="299"/>
      <c r="AE213" s="301" t="str">
        <f t="array" ref="AE213">IF(W213="","", INDEX(Other!G:G, MATCH(W213, Other!B:B,0)))</f>
        <v/>
      </c>
      <c r="AF213" s="42"/>
      <c r="AG213" s="299"/>
      <c r="AH213" s="301" t="str">
        <f t="array" ref="AH213">IF(W213="","", INDEX(Other!H:H, MATCH(W213, Other!B:B,0)))</f>
        <v/>
      </c>
      <c r="AI213" s="42"/>
      <c r="AJ213" s="42"/>
      <c r="AK213" s="299"/>
      <c r="AL213" s="301" t="str">
        <f t="shared" si="2"/>
        <v/>
      </c>
      <c r="AM213" s="42"/>
      <c r="AN213" s="42"/>
      <c r="AO213" s="44"/>
      <c r="AP213" s="114"/>
      <c r="AQ213" s="83"/>
      <c r="AR213" s="83"/>
      <c r="AS213" s="83"/>
      <c r="AT213" s="83"/>
      <c r="AU213" s="83"/>
      <c r="AV213" s="83"/>
      <c r="AW213" s="83"/>
      <c r="AX213" s="83"/>
      <c r="AY213" s="83"/>
      <c r="AZ213" s="83"/>
      <c r="BA213" s="83"/>
      <c r="BB213" s="83"/>
    </row>
    <row r="214">
      <c r="A214" s="101"/>
      <c r="B214" s="298"/>
      <c r="C214" s="42"/>
      <c r="D214" s="42"/>
      <c r="E214" s="42"/>
      <c r="F214" s="299"/>
      <c r="G214" s="300"/>
      <c r="H214" s="42"/>
      <c r="I214" s="299"/>
      <c r="J214" s="301" t="str">
        <f t="array" ref="J214">IF(B214="","", INDEX(Ingredients!G:G, MATCH(B214, Ingredients!B:B,0)))</f>
        <v/>
      </c>
      <c r="K214" s="42"/>
      <c r="L214" s="299"/>
      <c r="M214" s="301" t="str">
        <f t="array" ref="M214">IF(B214="","", INDEX(Ingredients!H:H, MATCH(B214, Ingredients!B:B,0)))</f>
        <v/>
      </c>
      <c r="N214" s="42"/>
      <c r="O214" s="42"/>
      <c r="P214" s="299"/>
      <c r="Q214" s="302" t="str">
        <f t="shared" si="1"/>
        <v/>
      </c>
      <c r="R214" s="42"/>
      <c r="S214" s="42"/>
      <c r="T214" s="44"/>
      <c r="U214" s="114"/>
      <c r="V214" s="101"/>
      <c r="W214" s="298"/>
      <c r="X214" s="42"/>
      <c r="Y214" s="42"/>
      <c r="Z214" s="42"/>
      <c r="AA214" s="299"/>
      <c r="AB214" s="300"/>
      <c r="AC214" s="42"/>
      <c r="AD214" s="299"/>
      <c r="AE214" s="301" t="str">
        <f t="array" ref="AE214">IF(W214="","", INDEX(Other!G:G, MATCH(W214, Other!B:B,0)))</f>
        <v/>
      </c>
      <c r="AF214" s="42"/>
      <c r="AG214" s="299"/>
      <c r="AH214" s="301" t="str">
        <f t="array" ref="AH214">IF(W214="","", INDEX(Other!H:H, MATCH(W214, Other!B:B,0)))</f>
        <v/>
      </c>
      <c r="AI214" s="42"/>
      <c r="AJ214" s="42"/>
      <c r="AK214" s="299"/>
      <c r="AL214" s="301" t="str">
        <f t="shared" si="2"/>
        <v/>
      </c>
      <c r="AM214" s="42"/>
      <c r="AN214" s="42"/>
      <c r="AO214" s="44"/>
      <c r="AP214" s="114"/>
      <c r="AQ214" s="83"/>
      <c r="AR214" s="83"/>
      <c r="AS214" s="83"/>
      <c r="AT214" s="83"/>
      <c r="AU214" s="83"/>
      <c r="AV214" s="83"/>
      <c r="AW214" s="83"/>
      <c r="AX214" s="83"/>
      <c r="AY214" s="83"/>
      <c r="AZ214" s="83"/>
      <c r="BA214" s="83"/>
      <c r="BB214" s="83"/>
    </row>
    <row r="215">
      <c r="A215" s="101"/>
      <c r="B215" s="298"/>
      <c r="C215" s="42"/>
      <c r="D215" s="42"/>
      <c r="E215" s="42"/>
      <c r="F215" s="299"/>
      <c r="G215" s="300"/>
      <c r="H215" s="42"/>
      <c r="I215" s="299"/>
      <c r="J215" s="301" t="str">
        <f t="array" ref="J215">IF(B215="","", INDEX(Ingredients!G:G, MATCH(B215, Ingredients!B:B,0)))</f>
        <v/>
      </c>
      <c r="K215" s="42"/>
      <c r="L215" s="299"/>
      <c r="M215" s="301" t="str">
        <f t="array" ref="M215">IF(B215="","", INDEX(Ingredients!H:H, MATCH(B215, Ingredients!B:B,0)))</f>
        <v/>
      </c>
      <c r="N215" s="42"/>
      <c r="O215" s="42"/>
      <c r="P215" s="299"/>
      <c r="Q215" s="302" t="str">
        <f t="shared" si="1"/>
        <v/>
      </c>
      <c r="R215" s="42"/>
      <c r="S215" s="42"/>
      <c r="T215" s="44"/>
      <c r="U215" s="114"/>
      <c r="V215" s="101"/>
      <c r="W215" s="298"/>
      <c r="X215" s="42"/>
      <c r="Y215" s="42"/>
      <c r="Z215" s="42"/>
      <c r="AA215" s="299"/>
      <c r="AB215" s="300"/>
      <c r="AC215" s="42"/>
      <c r="AD215" s="299"/>
      <c r="AE215" s="301" t="str">
        <f t="array" ref="AE215">IF(W215="","", INDEX(Other!G:G, MATCH(W215, Other!B:B,0)))</f>
        <v/>
      </c>
      <c r="AF215" s="42"/>
      <c r="AG215" s="299"/>
      <c r="AH215" s="301" t="str">
        <f t="array" ref="AH215">IF(W215="","", INDEX(Other!H:H, MATCH(W215, Other!B:B,0)))</f>
        <v/>
      </c>
      <c r="AI215" s="42"/>
      <c r="AJ215" s="42"/>
      <c r="AK215" s="299"/>
      <c r="AL215" s="301" t="str">
        <f t="shared" si="2"/>
        <v/>
      </c>
      <c r="AM215" s="42"/>
      <c r="AN215" s="42"/>
      <c r="AO215" s="44"/>
      <c r="AP215" s="114"/>
      <c r="AQ215" s="83"/>
      <c r="AR215" s="83"/>
      <c r="AS215" s="83"/>
      <c r="AT215" s="83"/>
      <c r="AU215" s="83"/>
      <c r="AV215" s="83"/>
      <c r="AW215" s="83"/>
      <c r="AX215" s="83"/>
      <c r="AY215" s="83"/>
      <c r="AZ215" s="83"/>
      <c r="BA215" s="83"/>
      <c r="BB215" s="83"/>
    </row>
    <row r="216">
      <c r="A216" s="101"/>
      <c r="B216" s="298"/>
      <c r="C216" s="42"/>
      <c r="D216" s="42"/>
      <c r="E216" s="42"/>
      <c r="F216" s="299"/>
      <c r="G216" s="300"/>
      <c r="H216" s="42"/>
      <c r="I216" s="299"/>
      <c r="J216" s="301" t="str">
        <f t="array" ref="J216">IF(B216="","", INDEX(Ingredients!G:G, MATCH(B216, Ingredients!B:B,0)))</f>
        <v/>
      </c>
      <c r="K216" s="42"/>
      <c r="L216" s="299"/>
      <c r="M216" s="301" t="str">
        <f t="array" ref="M216">IF(B216="","", INDEX(Ingredients!H:H, MATCH(B216, Ingredients!B:B,0)))</f>
        <v/>
      </c>
      <c r="N216" s="42"/>
      <c r="O216" s="42"/>
      <c r="P216" s="299"/>
      <c r="Q216" s="302" t="str">
        <f t="shared" si="1"/>
        <v/>
      </c>
      <c r="R216" s="42"/>
      <c r="S216" s="42"/>
      <c r="T216" s="44"/>
      <c r="U216" s="114"/>
      <c r="V216" s="101"/>
      <c r="W216" s="298"/>
      <c r="X216" s="42"/>
      <c r="Y216" s="42"/>
      <c r="Z216" s="42"/>
      <c r="AA216" s="299"/>
      <c r="AB216" s="300"/>
      <c r="AC216" s="42"/>
      <c r="AD216" s="299"/>
      <c r="AE216" s="301" t="str">
        <f t="array" ref="AE216">IF(W216="","", INDEX(Other!G:G, MATCH(W216, Other!B:B,0)))</f>
        <v/>
      </c>
      <c r="AF216" s="42"/>
      <c r="AG216" s="299"/>
      <c r="AH216" s="301" t="str">
        <f t="array" ref="AH216">IF(W216="","", INDEX(Other!H:H, MATCH(W216, Other!B:B,0)))</f>
        <v/>
      </c>
      <c r="AI216" s="42"/>
      <c r="AJ216" s="42"/>
      <c r="AK216" s="299"/>
      <c r="AL216" s="301" t="str">
        <f t="shared" si="2"/>
        <v/>
      </c>
      <c r="AM216" s="42"/>
      <c r="AN216" s="42"/>
      <c r="AO216" s="44"/>
      <c r="AP216" s="114"/>
      <c r="AQ216" s="83"/>
      <c r="AR216" s="83"/>
      <c r="AS216" s="83"/>
      <c r="AT216" s="83"/>
      <c r="AU216" s="83"/>
      <c r="AV216" s="83"/>
      <c r="AW216" s="83"/>
      <c r="AX216" s="83"/>
      <c r="AY216" s="83"/>
      <c r="AZ216" s="83"/>
      <c r="BA216" s="83"/>
      <c r="BB216" s="83"/>
    </row>
    <row r="217">
      <c r="A217" s="101"/>
      <c r="B217" s="298"/>
      <c r="C217" s="42"/>
      <c r="D217" s="42"/>
      <c r="E217" s="42"/>
      <c r="F217" s="299"/>
      <c r="G217" s="300"/>
      <c r="H217" s="42"/>
      <c r="I217" s="299"/>
      <c r="J217" s="301" t="str">
        <f t="array" ref="J217">IF(B217="","", INDEX(Ingredients!G:G, MATCH(B217, Ingredients!B:B,0)))</f>
        <v/>
      </c>
      <c r="K217" s="42"/>
      <c r="L217" s="299"/>
      <c r="M217" s="301" t="str">
        <f t="array" ref="M217">IF(B217="","", INDEX(Ingredients!H:H, MATCH(B217, Ingredients!B:B,0)))</f>
        <v/>
      </c>
      <c r="N217" s="42"/>
      <c r="O217" s="42"/>
      <c r="P217" s="299"/>
      <c r="Q217" s="302" t="str">
        <f t="shared" si="1"/>
        <v/>
      </c>
      <c r="R217" s="42"/>
      <c r="S217" s="42"/>
      <c r="T217" s="44"/>
      <c r="U217" s="114"/>
      <c r="V217" s="101"/>
      <c r="W217" s="298"/>
      <c r="X217" s="42"/>
      <c r="Y217" s="42"/>
      <c r="Z217" s="42"/>
      <c r="AA217" s="299"/>
      <c r="AB217" s="300"/>
      <c r="AC217" s="42"/>
      <c r="AD217" s="299"/>
      <c r="AE217" s="301" t="str">
        <f t="array" ref="AE217">IF(W217="","", INDEX(Other!G:G, MATCH(W217, Other!B:B,0)))</f>
        <v/>
      </c>
      <c r="AF217" s="42"/>
      <c r="AG217" s="299"/>
      <c r="AH217" s="301" t="str">
        <f t="array" ref="AH217">IF(W217="","", INDEX(Other!H:H, MATCH(W217, Other!B:B,0)))</f>
        <v/>
      </c>
      <c r="AI217" s="42"/>
      <c r="AJ217" s="42"/>
      <c r="AK217" s="299"/>
      <c r="AL217" s="301" t="str">
        <f t="shared" si="2"/>
        <v/>
      </c>
      <c r="AM217" s="42"/>
      <c r="AN217" s="42"/>
      <c r="AO217" s="44"/>
      <c r="AP217" s="114"/>
      <c r="AQ217" s="83"/>
      <c r="AR217" s="83"/>
      <c r="AS217" s="83"/>
      <c r="AT217" s="83"/>
      <c r="AU217" s="83"/>
      <c r="AV217" s="83"/>
      <c r="AW217" s="83"/>
      <c r="AX217" s="83"/>
      <c r="AY217" s="83"/>
      <c r="AZ217" s="83"/>
      <c r="BA217" s="83"/>
      <c r="BB217" s="83"/>
    </row>
    <row r="218">
      <c r="A218" s="101"/>
      <c r="B218" s="298"/>
      <c r="C218" s="42"/>
      <c r="D218" s="42"/>
      <c r="E218" s="42"/>
      <c r="F218" s="299"/>
      <c r="G218" s="300"/>
      <c r="H218" s="42"/>
      <c r="I218" s="299"/>
      <c r="J218" s="301" t="str">
        <f t="array" ref="J218">IF(B218="","", INDEX(Ingredients!G:G, MATCH(B218, Ingredients!B:B,0)))</f>
        <v/>
      </c>
      <c r="K218" s="42"/>
      <c r="L218" s="299"/>
      <c r="M218" s="301" t="str">
        <f t="array" ref="M218">IF(B218="","", INDEX(Ingredients!H:H, MATCH(B218, Ingredients!B:B,0)))</f>
        <v/>
      </c>
      <c r="N218" s="42"/>
      <c r="O218" s="42"/>
      <c r="P218" s="299"/>
      <c r="Q218" s="302" t="str">
        <f t="shared" si="1"/>
        <v/>
      </c>
      <c r="R218" s="42"/>
      <c r="S218" s="42"/>
      <c r="T218" s="44"/>
      <c r="U218" s="114"/>
      <c r="V218" s="101"/>
      <c r="W218" s="298"/>
      <c r="X218" s="42"/>
      <c r="Y218" s="42"/>
      <c r="Z218" s="42"/>
      <c r="AA218" s="299"/>
      <c r="AB218" s="300"/>
      <c r="AC218" s="42"/>
      <c r="AD218" s="299"/>
      <c r="AE218" s="301" t="str">
        <f t="array" ref="AE218">IF(W218="","", INDEX(Other!G:G, MATCH(W218, Other!B:B,0)))</f>
        <v/>
      </c>
      <c r="AF218" s="42"/>
      <c r="AG218" s="299"/>
      <c r="AH218" s="301" t="str">
        <f t="array" ref="AH218">IF(W218="","", INDEX(Other!H:H, MATCH(W218, Other!B:B,0)))</f>
        <v/>
      </c>
      <c r="AI218" s="42"/>
      <c r="AJ218" s="42"/>
      <c r="AK218" s="299"/>
      <c r="AL218" s="301" t="str">
        <f t="shared" si="2"/>
        <v/>
      </c>
      <c r="AM218" s="42"/>
      <c r="AN218" s="42"/>
      <c r="AO218" s="44"/>
      <c r="AP218" s="114"/>
      <c r="AQ218" s="83"/>
      <c r="AR218" s="83"/>
      <c r="AS218" s="83"/>
      <c r="AT218" s="83"/>
      <c r="AU218" s="83"/>
      <c r="AV218" s="83"/>
      <c r="AW218" s="83"/>
      <c r="AX218" s="83"/>
      <c r="AY218" s="83"/>
      <c r="AZ218" s="83"/>
      <c r="BA218" s="83"/>
      <c r="BB218" s="83"/>
    </row>
    <row r="219">
      <c r="A219" s="101"/>
      <c r="B219" s="298"/>
      <c r="C219" s="42"/>
      <c r="D219" s="42"/>
      <c r="E219" s="42"/>
      <c r="F219" s="299"/>
      <c r="G219" s="300"/>
      <c r="H219" s="42"/>
      <c r="I219" s="299"/>
      <c r="J219" s="301" t="str">
        <f t="array" ref="J219">IF(B219="","", INDEX(Ingredients!G:G, MATCH(B219, Ingredients!B:B,0)))</f>
        <v/>
      </c>
      <c r="K219" s="42"/>
      <c r="L219" s="299"/>
      <c r="M219" s="301" t="str">
        <f t="array" ref="M219">IF(B219="","", INDEX(Ingredients!H:H, MATCH(B219, Ingredients!B:B,0)))</f>
        <v/>
      </c>
      <c r="N219" s="42"/>
      <c r="O219" s="42"/>
      <c r="P219" s="299"/>
      <c r="Q219" s="302" t="str">
        <f t="shared" si="1"/>
        <v/>
      </c>
      <c r="R219" s="42"/>
      <c r="S219" s="42"/>
      <c r="T219" s="44"/>
      <c r="U219" s="114"/>
      <c r="V219" s="101"/>
      <c r="W219" s="298"/>
      <c r="X219" s="42"/>
      <c r="Y219" s="42"/>
      <c r="Z219" s="42"/>
      <c r="AA219" s="299"/>
      <c r="AB219" s="300"/>
      <c r="AC219" s="42"/>
      <c r="AD219" s="299"/>
      <c r="AE219" s="301" t="str">
        <f t="array" ref="AE219">IF(W219="","", INDEX(Other!G:G, MATCH(W219, Other!B:B,0)))</f>
        <v/>
      </c>
      <c r="AF219" s="42"/>
      <c r="AG219" s="299"/>
      <c r="AH219" s="301" t="str">
        <f t="array" ref="AH219">IF(W219="","", INDEX(Other!H:H, MATCH(W219, Other!B:B,0)))</f>
        <v/>
      </c>
      <c r="AI219" s="42"/>
      <c r="AJ219" s="42"/>
      <c r="AK219" s="299"/>
      <c r="AL219" s="301" t="str">
        <f t="shared" si="2"/>
        <v/>
      </c>
      <c r="AM219" s="42"/>
      <c r="AN219" s="42"/>
      <c r="AO219" s="44"/>
      <c r="AP219" s="114"/>
      <c r="AQ219" s="83"/>
      <c r="AR219" s="83"/>
      <c r="AS219" s="83"/>
      <c r="AT219" s="83"/>
      <c r="AU219" s="83"/>
      <c r="AV219" s="83"/>
      <c r="AW219" s="83"/>
      <c r="AX219" s="83"/>
      <c r="AY219" s="83"/>
      <c r="AZ219" s="83"/>
      <c r="BA219" s="83"/>
      <c r="BB219" s="83"/>
    </row>
    <row r="220">
      <c r="A220" s="101"/>
      <c r="B220" s="298"/>
      <c r="C220" s="42"/>
      <c r="D220" s="42"/>
      <c r="E220" s="42"/>
      <c r="F220" s="299"/>
      <c r="G220" s="300"/>
      <c r="H220" s="42"/>
      <c r="I220" s="299"/>
      <c r="J220" s="301" t="str">
        <f t="array" ref="J220">IF(B220="","", INDEX(Ingredients!G:G, MATCH(B220, Ingredients!B:B,0)))</f>
        <v/>
      </c>
      <c r="K220" s="42"/>
      <c r="L220" s="299"/>
      <c r="M220" s="301" t="str">
        <f t="array" ref="M220">IF(B220="","", INDEX(Ingredients!H:H, MATCH(B220, Ingredients!B:B,0)))</f>
        <v/>
      </c>
      <c r="N220" s="42"/>
      <c r="O220" s="42"/>
      <c r="P220" s="299"/>
      <c r="Q220" s="302" t="str">
        <f t="shared" si="1"/>
        <v/>
      </c>
      <c r="R220" s="42"/>
      <c r="S220" s="42"/>
      <c r="T220" s="44"/>
      <c r="U220" s="114"/>
      <c r="V220" s="101"/>
      <c r="W220" s="298"/>
      <c r="X220" s="42"/>
      <c r="Y220" s="42"/>
      <c r="Z220" s="42"/>
      <c r="AA220" s="299"/>
      <c r="AB220" s="300"/>
      <c r="AC220" s="42"/>
      <c r="AD220" s="299"/>
      <c r="AE220" s="301" t="str">
        <f t="array" ref="AE220">IF(W220="","", INDEX(Other!G:G, MATCH(W220, Other!B:B,0)))</f>
        <v/>
      </c>
      <c r="AF220" s="42"/>
      <c r="AG220" s="299"/>
      <c r="AH220" s="301" t="str">
        <f t="array" ref="AH220">IF(W220="","", INDEX(Other!H:H, MATCH(W220, Other!B:B,0)))</f>
        <v/>
      </c>
      <c r="AI220" s="42"/>
      <c r="AJ220" s="42"/>
      <c r="AK220" s="299"/>
      <c r="AL220" s="301" t="str">
        <f t="shared" si="2"/>
        <v/>
      </c>
      <c r="AM220" s="42"/>
      <c r="AN220" s="42"/>
      <c r="AO220" s="44"/>
      <c r="AP220" s="114"/>
      <c r="AQ220" s="83"/>
      <c r="AR220" s="83"/>
      <c r="AS220" s="83"/>
      <c r="AT220" s="83"/>
      <c r="AU220" s="83"/>
      <c r="AV220" s="83"/>
      <c r="AW220" s="83"/>
      <c r="AX220" s="83"/>
      <c r="AY220" s="83"/>
      <c r="AZ220" s="83"/>
      <c r="BA220" s="83"/>
      <c r="BB220" s="83"/>
    </row>
    <row r="221">
      <c r="A221" s="101"/>
      <c r="B221" s="298"/>
      <c r="C221" s="42"/>
      <c r="D221" s="42"/>
      <c r="E221" s="42"/>
      <c r="F221" s="299"/>
      <c r="G221" s="300"/>
      <c r="H221" s="42"/>
      <c r="I221" s="299"/>
      <c r="J221" s="301" t="str">
        <f t="array" ref="J221">IF(B221="","", INDEX(Ingredients!G:G, MATCH(B221, Ingredients!B:B,0)))</f>
        <v/>
      </c>
      <c r="K221" s="42"/>
      <c r="L221" s="299"/>
      <c r="M221" s="301" t="str">
        <f t="array" ref="M221">IF(B221="","", INDEX(Ingredients!H:H, MATCH(B221, Ingredients!B:B,0)))</f>
        <v/>
      </c>
      <c r="N221" s="42"/>
      <c r="O221" s="42"/>
      <c r="P221" s="299"/>
      <c r="Q221" s="302" t="str">
        <f t="shared" si="1"/>
        <v/>
      </c>
      <c r="R221" s="42"/>
      <c r="S221" s="42"/>
      <c r="T221" s="44"/>
      <c r="U221" s="114"/>
      <c r="V221" s="101"/>
      <c r="W221" s="298"/>
      <c r="X221" s="42"/>
      <c r="Y221" s="42"/>
      <c r="Z221" s="42"/>
      <c r="AA221" s="299"/>
      <c r="AB221" s="300"/>
      <c r="AC221" s="42"/>
      <c r="AD221" s="299"/>
      <c r="AE221" s="301" t="str">
        <f t="array" ref="AE221">IF(W221="","", INDEX(Other!G:G, MATCH(W221, Other!B:B,0)))</f>
        <v/>
      </c>
      <c r="AF221" s="42"/>
      <c r="AG221" s="299"/>
      <c r="AH221" s="301" t="str">
        <f t="array" ref="AH221">IF(W221="","", INDEX(Other!H:H, MATCH(W221, Other!B:B,0)))</f>
        <v/>
      </c>
      <c r="AI221" s="42"/>
      <c r="AJ221" s="42"/>
      <c r="AK221" s="299"/>
      <c r="AL221" s="301" t="str">
        <f t="shared" si="2"/>
        <v/>
      </c>
      <c r="AM221" s="42"/>
      <c r="AN221" s="42"/>
      <c r="AO221" s="44"/>
      <c r="AP221" s="114"/>
      <c r="AQ221" s="83"/>
      <c r="AR221" s="83"/>
      <c r="AS221" s="83"/>
      <c r="AT221" s="83"/>
      <c r="AU221" s="83"/>
      <c r="AV221" s="83"/>
      <c r="AW221" s="83"/>
      <c r="AX221" s="83"/>
      <c r="AY221" s="83"/>
      <c r="AZ221" s="83"/>
      <c r="BA221" s="83"/>
      <c r="BB221" s="83"/>
    </row>
    <row r="222">
      <c r="A222" s="101"/>
      <c r="B222" s="298"/>
      <c r="C222" s="42"/>
      <c r="D222" s="42"/>
      <c r="E222" s="42"/>
      <c r="F222" s="299"/>
      <c r="G222" s="300"/>
      <c r="H222" s="42"/>
      <c r="I222" s="299"/>
      <c r="J222" s="301" t="str">
        <f t="array" ref="J222">IF(B222="","", INDEX(Ingredients!G:G, MATCH(B222, Ingredients!B:B,0)))</f>
        <v/>
      </c>
      <c r="K222" s="42"/>
      <c r="L222" s="299"/>
      <c r="M222" s="301" t="str">
        <f t="array" ref="M222">IF(B222="","", INDEX(Ingredients!H:H, MATCH(B222, Ingredients!B:B,0)))</f>
        <v/>
      </c>
      <c r="N222" s="42"/>
      <c r="O222" s="42"/>
      <c r="P222" s="299"/>
      <c r="Q222" s="302" t="str">
        <f t="shared" si="1"/>
        <v/>
      </c>
      <c r="R222" s="42"/>
      <c r="S222" s="42"/>
      <c r="T222" s="44"/>
      <c r="U222" s="114"/>
      <c r="V222" s="101"/>
      <c r="W222" s="298"/>
      <c r="X222" s="42"/>
      <c r="Y222" s="42"/>
      <c r="Z222" s="42"/>
      <c r="AA222" s="299"/>
      <c r="AB222" s="300"/>
      <c r="AC222" s="42"/>
      <c r="AD222" s="299"/>
      <c r="AE222" s="301" t="str">
        <f t="array" ref="AE222">IF(W222="","", INDEX(Other!G:G, MATCH(W222, Other!B:B,0)))</f>
        <v/>
      </c>
      <c r="AF222" s="42"/>
      <c r="AG222" s="299"/>
      <c r="AH222" s="301" t="str">
        <f t="array" ref="AH222">IF(W222="","", INDEX(Other!H:H, MATCH(W222, Other!B:B,0)))</f>
        <v/>
      </c>
      <c r="AI222" s="42"/>
      <c r="AJ222" s="42"/>
      <c r="AK222" s="299"/>
      <c r="AL222" s="301" t="str">
        <f t="shared" si="2"/>
        <v/>
      </c>
      <c r="AM222" s="42"/>
      <c r="AN222" s="42"/>
      <c r="AO222" s="44"/>
      <c r="AP222" s="114"/>
      <c r="AQ222" s="83"/>
      <c r="AR222" s="83"/>
      <c r="AS222" s="83"/>
      <c r="AT222" s="83"/>
      <c r="AU222" s="83"/>
      <c r="AV222" s="83"/>
      <c r="AW222" s="83"/>
      <c r="AX222" s="83"/>
      <c r="AY222" s="83"/>
      <c r="AZ222" s="83"/>
      <c r="BA222" s="83"/>
      <c r="BB222" s="83"/>
    </row>
    <row r="223">
      <c r="A223" s="101"/>
      <c r="B223" s="298"/>
      <c r="C223" s="42"/>
      <c r="D223" s="42"/>
      <c r="E223" s="42"/>
      <c r="F223" s="299"/>
      <c r="G223" s="300"/>
      <c r="H223" s="42"/>
      <c r="I223" s="299"/>
      <c r="J223" s="301" t="str">
        <f t="array" ref="J223">IF(B223="","", INDEX(Ingredients!G:G, MATCH(B223, Ingredients!B:B,0)))</f>
        <v/>
      </c>
      <c r="K223" s="42"/>
      <c r="L223" s="299"/>
      <c r="M223" s="301" t="str">
        <f t="array" ref="M223">IF(B223="","", INDEX(Ingredients!H:H, MATCH(B223, Ingredients!B:B,0)))</f>
        <v/>
      </c>
      <c r="N223" s="42"/>
      <c r="O223" s="42"/>
      <c r="P223" s="299"/>
      <c r="Q223" s="302" t="str">
        <f t="shared" si="1"/>
        <v/>
      </c>
      <c r="R223" s="42"/>
      <c r="S223" s="42"/>
      <c r="T223" s="44"/>
      <c r="U223" s="114"/>
      <c r="V223" s="101"/>
      <c r="W223" s="298"/>
      <c r="X223" s="42"/>
      <c r="Y223" s="42"/>
      <c r="Z223" s="42"/>
      <c r="AA223" s="299"/>
      <c r="AB223" s="300"/>
      <c r="AC223" s="42"/>
      <c r="AD223" s="299"/>
      <c r="AE223" s="301" t="str">
        <f t="array" ref="AE223">IF(W223="","", INDEX(Other!G:G, MATCH(W223, Other!B:B,0)))</f>
        <v/>
      </c>
      <c r="AF223" s="42"/>
      <c r="AG223" s="299"/>
      <c r="AH223" s="301" t="str">
        <f t="array" ref="AH223">IF(W223="","", INDEX(Other!H:H, MATCH(W223, Other!B:B,0)))</f>
        <v/>
      </c>
      <c r="AI223" s="42"/>
      <c r="AJ223" s="42"/>
      <c r="AK223" s="299"/>
      <c r="AL223" s="301" t="str">
        <f t="shared" si="2"/>
        <v/>
      </c>
      <c r="AM223" s="42"/>
      <c r="AN223" s="42"/>
      <c r="AO223" s="44"/>
      <c r="AP223" s="114"/>
      <c r="AQ223" s="83"/>
      <c r="AR223" s="83"/>
      <c r="AS223" s="83"/>
      <c r="AT223" s="83"/>
      <c r="AU223" s="83"/>
      <c r="AV223" s="83"/>
      <c r="AW223" s="83"/>
      <c r="AX223" s="83"/>
      <c r="AY223" s="83"/>
      <c r="AZ223" s="83"/>
      <c r="BA223" s="83"/>
      <c r="BB223" s="83"/>
    </row>
    <row r="224">
      <c r="A224" s="101"/>
      <c r="B224" s="298"/>
      <c r="C224" s="42"/>
      <c r="D224" s="42"/>
      <c r="E224" s="42"/>
      <c r="F224" s="299"/>
      <c r="G224" s="300"/>
      <c r="H224" s="42"/>
      <c r="I224" s="299"/>
      <c r="J224" s="301" t="str">
        <f t="array" ref="J224">IF(B224="","", INDEX(Ingredients!G:G, MATCH(B224, Ingredients!B:B,0)))</f>
        <v/>
      </c>
      <c r="K224" s="42"/>
      <c r="L224" s="299"/>
      <c r="M224" s="301" t="str">
        <f t="array" ref="M224">IF(B224="","", INDEX(Ingredients!H:H, MATCH(B224, Ingredients!B:B,0)))</f>
        <v/>
      </c>
      <c r="N224" s="42"/>
      <c r="O224" s="42"/>
      <c r="P224" s="299"/>
      <c r="Q224" s="302" t="str">
        <f t="shared" si="1"/>
        <v/>
      </c>
      <c r="R224" s="42"/>
      <c r="S224" s="42"/>
      <c r="T224" s="44"/>
      <c r="U224" s="114"/>
      <c r="V224" s="101"/>
      <c r="W224" s="298"/>
      <c r="X224" s="42"/>
      <c r="Y224" s="42"/>
      <c r="Z224" s="42"/>
      <c r="AA224" s="299"/>
      <c r="AB224" s="300"/>
      <c r="AC224" s="42"/>
      <c r="AD224" s="299"/>
      <c r="AE224" s="301" t="str">
        <f t="array" ref="AE224">IF(W224="","", INDEX(Other!G:G, MATCH(W224, Other!B:B,0)))</f>
        <v/>
      </c>
      <c r="AF224" s="42"/>
      <c r="AG224" s="299"/>
      <c r="AH224" s="301" t="str">
        <f t="array" ref="AH224">IF(W224="","", INDEX(Other!H:H, MATCH(W224, Other!B:B,0)))</f>
        <v/>
      </c>
      <c r="AI224" s="42"/>
      <c r="AJ224" s="42"/>
      <c r="AK224" s="299"/>
      <c r="AL224" s="301" t="str">
        <f t="shared" si="2"/>
        <v/>
      </c>
      <c r="AM224" s="42"/>
      <c r="AN224" s="42"/>
      <c r="AO224" s="44"/>
      <c r="AP224" s="114"/>
      <c r="AQ224" s="83"/>
      <c r="AR224" s="83"/>
      <c r="AS224" s="83"/>
      <c r="AT224" s="83"/>
      <c r="AU224" s="83"/>
      <c r="AV224" s="83"/>
      <c r="AW224" s="83"/>
      <c r="AX224" s="83"/>
      <c r="AY224" s="83"/>
      <c r="AZ224" s="83"/>
      <c r="BA224" s="83"/>
      <c r="BB224" s="83"/>
    </row>
    <row r="225">
      <c r="A225" s="101"/>
      <c r="B225" s="298"/>
      <c r="C225" s="42"/>
      <c r="D225" s="42"/>
      <c r="E225" s="42"/>
      <c r="F225" s="299"/>
      <c r="G225" s="300"/>
      <c r="H225" s="42"/>
      <c r="I225" s="299"/>
      <c r="J225" s="301" t="str">
        <f t="array" ref="J225">IF(B225="","", INDEX(Ingredients!G:G, MATCH(B225, Ingredients!B:B,0)))</f>
        <v/>
      </c>
      <c r="K225" s="42"/>
      <c r="L225" s="299"/>
      <c r="M225" s="301" t="str">
        <f t="array" ref="M225">IF(B225="","", INDEX(Ingredients!H:H, MATCH(B225, Ingredients!B:B,0)))</f>
        <v/>
      </c>
      <c r="N225" s="42"/>
      <c r="O225" s="42"/>
      <c r="P225" s="299"/>
      <c r="Q225" s="302" t="str">
        <f t="shared" si="1"/>
        <v/>
      </c>
      <c r="R225" s="42"/>
      <c r="S225" s="42"/>
      <c r="T225" s="44"/>
      <c r="U225" s="114"/>
      <c r="V225" s="101"/>
      <c r="W225" s="298"/>
      <c r="X225" s="42"/>
      <c r="Y225" s="42"/>
      <c r="Z225" s="42"/>
      <c r="AA225" s="299"/>
      <c r="AB225" s="300"/>
      <c r="AC225" s="42"/>
      <c r="AD225" s="299"/>
      <c r="AE225" s="301" t="str">
        <f t="array" ref="AE225">IF(W225="","", INDEX(Other!G:G, MATCH(W225, Other!B:B,0)))</f>
        <v/>
      </c>
      <c r="AF225" s="42"/>
      <c r="AG225" s="299"/>
      <c r="AH225" s="301" t="str">
        <f t="array" ref="AH225">IF(W225="","", INDEX(Other!H:H, MATCH(W225, Other!B:B,0)))</f>
        <v/>
      </c>
      <c r="AI225" s="42"/>
      <c r="AJ225" s="42"/>
      <c r="AK225" s="299"/>
      <c r="AL225" s="301" t="str">
        <f t="shared" si="2"/>
        <v/>
      </c>
      <c r="AM225" s="42"/>
      <c r="AN225" s="42"/>
      <c r="AO225" s="44"/>
      <c r="AP225" s="114"/>
      <c r="AQ225" s="83"/>
      <c r="AR225" s="83"/>
      <c r="AS225" s="83"/>
      <c r="AT225" s="83"/>
      <c r="AU225" s="83"/>
      <c r="AV225" s="83"/>
      <c r="AW225" s="83"/>
      <c r="AX225" s="83"/>
      <c r="AY225" s="83"/>
      <c r="AZ225" s="83"/>
      <c r="BA225" s="83"/>
      <c r="BB225" s="83"/>
    </row>
    <row r="226">
      <c r="A226" s="101"/>
      <c r="B226" s="298"/>
      <c r="C226" s="42"/>
      <c r="D226" s="42"/>
      <c r="E226" s="42"/>
      <c r="F226" s="299"/>
      <c r="G226" s="300"/>
      <c r="H226" s="42"/>
      <c r="I226" s="299"/>
      <c r="J226" s="301" t="str">
        <f t="array" ref="J226">IF(B226="","", INDEX(Ingredients!G:G, MATCH(B226, Ingredients!B:B,0)))</f>
        <v/>
      </c>
      <c r="K226" s="42"/>
      <c r="L226" s="299"/>
      <c r="M226" s="301" t="str">
        <f t="array" ref="M226">IF(B226="","", INDEX(Ingredients!H:H, MATCH(B226, Ingredients!B:B,0)))</f>
        <v/>
      </c>
      <c r="N226" s="42"/>
      <c r="O226" s="42"/>
      <c r="P226" s="299"/>
      <c r="Q226" s="302" t="str">
        <f t="shared" si="1"/>
        <v/>
      </c>
      <c r="R226" s="42"/>
      <c r="S226" s="42"/>
      <c r="T226" s="44"/>
      <c r="U226" s="114"/>
      <c r="V226" s="101"/>
      <c r="W226" s="298"/>
      <c r="X226" s="42"/>
      <c r="Y226" s="42"/>
      <c r="Z226" s="42"/>
      <c r="AA226" s="299"/>
      <c r="AB226" s="300"/>
      <c r="AC226" s="42"/>
      <c r="AD226" s="299"/>
      <c r="AE226" s="301" t="str">
        <f t="array" ref="AE226">IF(W226="","", INDEX(Other!G:G, MATCH(W226, Other!B:B,0)))</f>
        <v/>
      </c>
      <c r="AF226" s="42"/>
      <c r="AG226" s="299"/>
      <c r="AH226" s="301" t="str">
        <f t="array" ref="AH226">IF(W226="","", INDEX(Other!H:H, MATCH(W226, Other!B:B,0)))</f>
        <v/>
      </c>
      <c r="AI226" s="42"/>
      <c r="AJ226" s="42"/>
      <c r="AK226" s="299"/>
      <c r="AL226" s="301" t="str">
        <f t="shared" si="2"/>
        <v/>
      </c>
      <c r="AM226" s="42"/>
      <c r="AN226" s="42"/>
      <c r="AO226" s="44"/>
      <c r="AP226" s="114"/>
      <c r="AQ226" s="83"/>
      <c r="AR226" s="83"/>
      <c r="AS226" s="83"/>
      <c r="AT226" s="83"/>
      <c r="AU226" s="83"/>
      <c r="AV226" s="83"/>
      <c r="AW226" s="83"/>
      <c r="AX226" s="83"/>
      <c r="AY226" s="83"/>
      <c r="AZ226" s="83"/>
      <c r="BA226" s="83"/>
      <c r="BB226" s="83"/>
    </row>
    <row r="227">
      <c r="A227" s="101"/>
      <c r="B227" s="298"/>
      <c r="C227" s="42"/>
      <c r="D227" s="42"/>
      <c r="E227" s="42"/>
      <c r="F227" s="299"/>
      <c r="G227" s="300"/>
      <c r="H227" s="42"/>
      <c r="I227" s="299"/>
      <c r="J227" s="301" t="str">
        <f t="array" ref="J227">IF(B227="","", INDEX(Ingredients!G:G, MATCH(B227, Ingredients!B:B,0)))</f>
        <v/>
      </c>
      <c r="K227" s="42"/>
      <c r="L227" s="299"/>
      <c r="M227" s="301" t="str">
        <f t="array" ref="M227">IF(B227="","", INDEX(Ingredients!H:H, MATCH(B227, Ingredients!B:B,0)))</f>
        <v/>
      </c>
      <c r="N227" s="42"/>
      <c r="O227" s="42"/>
      <c r="P227" s="299"/>
      <c r="Q227" s="302" t="str">
        <f t="shared" si="1"/>
        <v/>
      </c>
      <c r="R227" s="42"/>
      <c r="S227" s="42"/>
      <c r="T227" s="44"/>
      <c r="U227" s="114"/>
      <c r="V227" s="101"/>
      <c r="W227" s="298"/>
      <c r="X227" s="42"/>
      <c r="Y227" s="42"/>
      <c r="Z227" s="42"/>
      <c r="AA227" s="299"/>
      <c r="AB227" s="300"/>
      <c r="AC227" s="42"/>
      <c r="AD227" s="299"/>
      <c r="AE227" s="301" t="str">
        <f t="array" ref="AE227">IF(W227="","", INDEX(Other!G:G, MATCH(W227, Other!B:B,0)))</f>
        <v/>
      </c>
      <c r="AF227" s="42"/>
      <c r="AG227" s="299"/>
      <c r="AH227" s="301" t="str">
        <f t="array" ref="AH227">IF(W227="","", INDEX(Other!H:H, MATCH(W227, Other!B:B,0)))</f>
        <v/>
      </c>
      <c r="AI227" s="42"/>
      <c r="AJ227" s="42"/>
      <c r="AK227" s="299"/>
      <c r="AL227" s="301" t="str">
        <f t="shared" si="2"/>
        <v/>
      </c>
      <c r="AM227" s="42"/>
      <c r="AN227" s="42"/>
      <c r="AO227" s="44"/>
      <c r="AP227" s="114"/>
      <c r="AQ227" s="83"/>
      <c r="AR227" s="83"/>
      <c r="AS227" s="83"/>
      <c r="AT227" s="83"/>
      <c r="AU227" s="83"/>
      <c r="AV227" s="83"/>
      <c r="AW227" s="83"/>
      <c r="AX227" s="83"/>
      <c r="AY227" s="83"/>
      <c r="AZ227" s="83"/>
      <c r="BA227" s="83"/>
      <c r="BB227" s="83"/>
    </row>
    <row r="228">
      <c r="A228" s="101"/>
      <c r="B228" s="298"/>
      <c r="C228" s="42"/>
      <c r="D228" s="42"/>
      <c r="E228" s="42"/>
      <c r="F228" s="299"/>
      <c r="G228" s="300"/>
      <c r="H228" s="42"/>
      <c r="I228" s="299"/>
      <c r="J228" s="301" t="str">
        <f t="array" ref="J228">IF(B228="","", INDEX(Ingredients!G:G, MATCH(B228, Ingredients!B:B,0)))</f>
        <v/>
      </c>
      <c r="K228" s="42"/>
      <c r="L228" s="299"/>
      <c r="M228" s="301" t="str">
        <f t="array" ref="M228">IF(B228="","", INDEX(Ingredients!H:H, MATCH(B228, Ingredients!B:B,0)))</f>
        <v/>
      </c>
      <c r="N228" s="42"/>
      <c r="O228" s="42"/>
      <c r="P228" s="299"/>
      <c r="Q228" s="302" t="str">
        <f t="shared" si="1"/>
        <v/>
      </c>
      <c r="R228" s="42"/>
      <c r="S228" s="42"/>
      <c r="T228" s="44"/>
      <c r="U228" s="114"/>
      <c r="V228" s="101"/>
      <c r="W228" s="298"/>
      <c r="X228" s="42"/>
      <c r="Y228" s="42"/>
      <c r="Z228" s="42"/>
      <c r="AA228" s="299"/>
      <c r="AB228" s="300"/>
      <c r="AC228" s="42"/>
      <c r="AD228" s="299"/>
      <c r="AE228" s="301" t="str">
        <f t="array" ref="AE228">IF(W228="","", INDEX(Other!G:G, MATCH(W228, Other!B:B,0)))</f>
        <v/>
      </c>
      <c r="AF228" s="42"/>
      <c r="AG228" s="299"/>
      <c r="AH228" s="301" t="str">
        <f t="array" ref="AH228">IF(W228="","", INDEX(Other!H:H, MATCH(W228, Other!B:B,0)))</f>
        <v/>
      </c>
      <c r="AI228" s="42"/>
      <c r="AJ228" s="42"/>
      <c r="AK228" s="299"/>
      <c r="AL228" s="301" t="str">
        <f t="shared" si="2"/>
        <v/>
      </c>
      <c r="AM228" s="42"/>
      <c r="AN228" s="42"/>
      <c r="AO228" s="44"/>
      <c r="AP228" s="114"/>
      <c r="AQ228" s="83"/>
      <c r="AR228" s="83"/>
      <c r="AS228" s="83"/>
      <c r="AT228" s="83"/>
      <c r="AU228" s="83"/>
      <c r="AV228" s="83"/>
      <c r="AW228" s="83"/>
      <c r="AX228" s="83"/>
      <c r="AY228" s="83"/>
      <c r="AZ228" s="83"/>
      <c r="BA228" s="83"/>
      <c r="BB228" s="83"/>
    </row>
    <row r="229">
      <c r="A229" s="101"/>
      <c r="B229" s="298"/>
      <c r="C229" s="42"/>
      <c r="D229" s="42"/>
      <c r="E229" s="42"/>
      <c r="F229" s="299"/>
      <c r="G229" s="300"/>
      <c r="H229" s="42"/>
      <c r="I229" s="299"/>
      <c r="J229" s="301" t="str">
        <f t="array" ref="J229">IF(B229="","", INDEX(Ingredients!G:G, MATCH(B229, Ingredients!B:B,0)))</f>
        <v/>
      </c>
      <c r="K229" s="42"/>
      <c r="L229" s="299"/>
      <c r="M229" s="301" t="str">
        <f t="array" ref="M229">IF(B229="","", INDEX(Ingredients!H:H, MATCH(B229, Ingredients!B:B,0)))</f>
        <v/>
      </c>
      <c r="N229" s="42"/>
      <c r="O229" s="42"/>
      <c r="P229" s="299"/>
      <c r="Q229" s="302" t="str">
        <f t="shared" si="1"/>
        <v/>
      </c>
      <c r="R229" s="42"/>
      <c r="S229" s="42"/>
      <c r="T229" s="44"/>
      <c r="U229" s="114"/>
      <c r="V229" s="101"/>
      <c r="W229" s="298"/>
      <c r="X229" s="42"/>
      <c r="Y229" s="42"/>
      <c r="Z229" s="42"/>
      <c r="AA229" s="299"/>
      <c r="AB229" s="300"/>
      <c r="AC229" s="42"/>
      <c r="AD229" s="299"/>
      <c r="AE229" s="301" t="str">
        <f t="array" ref="AE229">IF(W229="","", INDEX(Other!G:G, MATCH(W229, Other!B:B,0)))</f>
        <v/>
      </c>
      <c r="AF229" s="42"/>
      <c r="AG229" s="299"/>
      <c r="AH229" s="301" t="str">
        <f t="array" ref="AH229">IF(W229="","", INDEX(Other!H:H, MATCH(W229, Other!B:B,0)))</f>
        <v/>
      </c>
      <c r="AI229" s="42"/>
      <c r="AJ229" s="42"/>
      <c r="AK229" s="299"/>
      <c r="AL229" s="301" t="str">
        <f t="shared" si="2"/>
        <v/>
      </c>
      <c r="AM229" s="42"/>
      <c r="AN229" s="42"/>
      <c r="AO229" s="44"/>
      <c r="AP229" s="114"/>
      <c r="AQ229" s="83"/>
      <c r="AR229" s="83"/>
      <c r="AS229" s="83"/>
      <c r="AT229" s="83"/>
      <c r="AU229" s="83"/>
      <c r="AV229" s="83"/>
      <c r="AW229" s="83"/>
      <c r="AX229" s="83"/>
      <c r="AY229" s="83"/>
      <c r="AZ229" s="83"/>
      <c r="BA229" s="83"/>
      <c r="BB229" s="83"/>
    </row>
    <row r="230">
      <c r="A230" s="101"/>
      <c r="B230" s="298"/>
      <c r="C230" s="42"/>
      <c r="D230" s="42"/>
      <c r="E230" s="42"/>
      <c r="F230" s="299"/>
      <c r="G230" s="300"/>
      <c r="H230" s="42"/>
      <c r="I230" s="299"/>
      <c r="J230" s="301" t="str">
        <f t="array" ref="J230">IF(B230="","", INDEX(Ingredients!G:G, MATCH(B230, Ingredients!B:B,0)))</f>
        <v/>
      </c>
      <c r="K230" s="42"/>
      <c r="L230" s="299"/>
      <c r="M230" s="301" t="str">
        <f t="array" ref="M230">IF(B230="","", INDEX(Ingredients!H:H, MATCH(B230, Ingredients!B:B,0)))</f>
        <v/>
      </c>
      <c r="N230" s="42"/>
      <c r="O230" s="42"/>
      <c r="P230" s="299"/>
      <c r="Q230" s="302" t="str">
        <f t="shared" si="1"/>
        <v/>
      </c>
      <c r="R230" s="42"/>
      <c r="S230" s="42"/>
      <c r="T230" s="44"/>
      <c r="U230" s="114"/>
      <c r="V230" s="101"/>
      <c r="W230" s="298"/>
      <c r="X230" s="42"/>
      <c r="Y230" s="42"/>
      <c r="Z230" s="42"/>
      <c r="AA230" s="299"/>
      <c r="AB230" s="300"/>
      <c r="AC230" s="42"/>
      <c r="AD230" s="299"/>
      <c r="AE230" s="301" t="str">
        <f t="array" ref="AE230">IF(W230="","", INDEX(Other!G:G, MATCH(W230, Other!B:B,0)))</f>
        <v/>
      </c>
      <c r="AF230" s="42"/>
      <c r="AG230" s="299"/>
      <c r="AH230" s="301" t="str">
        <f t="array" ref="AH230">IF(W230="","", INDEX(Other!H:H, MATCH(W230, Other!B:B,0)))</f>
        <v/>
      </c>
      <c r="AI230" s="42"/>
      <c r="AJ230" s="42"/>
      <c r="AK230" s="299"/>
      <c r="AL230" s="301" t="str">
        <f t="shared" si="2"/>
        <v/>
      </c>
      <c r="AM230" s="42"/>
      <c r="AN230" s="42"/>
      <c r="AO230" s="44"/>
      <c r="AP230" s="114"/>
      <c r="AQ230" s="83"/>
      <c r="AR230" s="83"/>
      <c r="AS230" s="83"/>
      <c r="AT230" s="83"/>
      <c r="AU230" s="83"/>
      <c r="AV230" s="83"/>
      <c r="AW230" s="83"/>
      <c r="AX230" s="83"/>
      <c r="AY230" s="83"/>
      <c r="AZ230" s="83"/>
      <c r="BA230" s="83"/>
      <c r="BB230" s="83"/>
    </row>
    <row r="231">
      <c r="A231" s="101"/>
      <c r="B231" s="298"/>
      <c r="C231" s="42"/>
      <c r="D231" s="42"/>
      <c r="E231" s="42"/>
      <c r="F231" s="299"/>
      <c r="G231" s="300"/>
      <c r="H231" s="42"/>
      <c r="I231" s="299"/>
      <c r="J231" s="301" t="str">
        <f t="array" ref="J231">IF(B231="","", INDEX(Ingredients!G:G, MATCH(B231, Ingredients!B:B,0)))</f>
        <v/>
      </c>
      <c r="K231" s="42"/>
      <c r="L231" s="299"/>
      <c r="M231" s="301" t="str">
        <f t="array" ref="M231">IF(B231="","", INDEX(Ingredients!H:H, MATCH(B231, Ingredients!B:B,0)))</f>
        <v/>
      </c>
      <c r="N231" s="42"/>
      <c r="O231" s="42"/>
      <c r="P231" s="299"/>
      <c r="Q231" s="302" t="str">
        <f t="shared" si="1"/>
        <v/>
      </c>
      <c r="R231" s="42"/>
      <c r="S231" s="42"/>
      <c r="T231" s="44"/>
      <c r="U231" s="114"/>
      <c r="V231" s="101"/>
      <c r="W231" s="298"/>
      <c r="X231" s="42"/>
      <c r="Y231" s="42"/>
      <c r="Z231" s="42"/>
      <c r="AA231" s="299"/>
      <c r="AB231" s="300"/>
      <c r="AC231" s="42"/>
      <c r="AD231" s="299"/>
      <c r="AE231" s="301" t="str">
        <f t="array" ref="AE231">IF(W231="","", INDEX(Other!G:G, MATCH(W231, Other!B:B,0)))</f>
        <v/>
      </c>
      <c r="AF231" s="42"/>
      <c r="AG231" s="299"/>
      <c r="AH231" s="301" t="str">
        <f t="array" ref="AH231">IF(W231="","", INDEX(Other!H:H, MATCH(W231, Other!B:B,0)))</f>
        <v/>
      </c>
      <c r="AI231" s="42"/>
      <c r="AJ231" s="42"/>
      <c r="AK231" s="299"/>
      <c r="AL231" s="301" t="str">
        <f t="shared" si="2"/>
        <v/>
      </c>
      <c r="AM231" s="42"/>
      <c r="AN231" s="42"/>
      <c r="AO231" s="44"/>
      <c r="AP231" s="114"/>
      <c r="AQ231" s="83"/>
      <c r="AR231" s="83"/>
      <c r="AS231" s="83"/>
      <c r="AT231" s="83"/>
      <c r="AU231" s="83"/>
      <c r="AV231" s="83"/>
      <c r="AW231" s="83"/>
      <c r="AX231" s="83"/>
      <c r="AY231" s="83"/>
      <c r="AZ231" s="83"/>
      <c r="BA231" s="83"/>
      <c r="BB231" s="83"/>
    </row>
    <row r="232">
      <c r="A232" s="101"/>
      <c r="B232" s="298"/>
      <c r="C232" s="42"/>
      <c r="D232" s="42"/>
      <c r="E232" s="42"/>
      <c r="F232" s="299"/>
      <c r="G232" s="300"/>
      <c r="H232" s="42"/>
      <c r="I232" s="299"/>
      <c r="J232" s="301" t="str">
        <f t="array" ref="J232">IF(B232="","", INDEX(Ingredients!G:G, MATCH(B232, Ingredients!B:B,0)))</f>
        <v/>
      </c>
      <c r="K232" s="42"/>
      <c r="L232" s="299"/>
      <c r="M232" s="301" t="str">
        <f t="array" ref="M232">IF(B232="","", INDEX(Ingredients!H:H, MATCH(B232, Ingredients!B:B,0)))</f>
        <v/>
      </c>
      <c r="N232" s="42"/>
      <c r="O232" s="42"/>
      <c r="P232" s="299"/>
      <c r="Q232" s="302" t="str">
        <f t="shared" si="1"/>
        <v/>
      </c>
      <c r="R232" s="42"/>
      <c r="S232" s="42"/>
      <c r="T232" s="44"/>
      <c r="U232" s="114"/>
      <c r="V232" s="101"/>
      <c r="W232" s="298"/>
      <c r="X232" s="42"/>
      <c r="Y232" s="42"/>
      <c r="Z232" s="42"/>
      <c r="AA232" s="299"/>
      <c r="AB232" s="300"/>
      <c r="AC232" s="42"/>
      <c r="AD232" s="299"/>
      <c r="AE232" s="301" t="str">
        <f t="array" ref="AE232">IF(W232="","", INDEX(Other!G:G, MATCH(W232, Other!B:B,0)))</f>
        <v/>
      </c>
      <c r="AF232" s="42"/>
      <c r="AG232" s="299"/>
      <c r="AH232" s="301" t="str">
        <f t="array" ref="AH232">IF(W232="","", INDEX(Other!H:H, MATCH(W232, Other!B:B,0)))</f>
        <v/>
      </c>
      <c r="AI232" s="42"/>
      <c r="AJ232" s="42"/>
      <c r="AK232" s="299"/>
      <c r="AL232" s="301" t="str">
        <f t="shared" si="2"/>
        <v/>
      </c>
      <c r="AM232" s="42"/>
      <c r="AN232" s="42"/>
      <c r="AO232" s="44"/>
      <c r="AP232" s="114"/>
      <c r="AQ232" s="83"/>
      <c r="AR232" s="83"/>
      <c r="AS232" s="83"/>
      <c r="AT232" s="83"/>
      <c r="AU232" s="83"/>
      <c r="AV232" s="83"/>
      <c r="AW232" s="83"/>
      <c r="AX232" s="83"/>
      <c r="AY232" s="83"/>
      <c r="AZ232" s="83"/>
      <c r="BA232" s="83"/>
      <c r="BB232" s="83"/>
    </row>
    <row r="233">
      <c r="A233" s="101"/>
      <c r="B233" s="298"/>
      <c r="C233" s="42"/>
      <c r="D233" s="42"/>
      <c r="E233" s="42"/>
      <c r="F233" s="299"/>
      <c r="G233" s="300"/>
      <c r="H233" s="42"/>
      <c r="I233" s="299"/>
      <c r="J233" s="301" t="str">
        <f t="array" ref="J233">IF(B233="","", INDEX(Ingredients!G:G, MATCH(B233, Ingredients!B:B,0)))</f>
        <v/>
      </c>
      <c r="K233" s="42"/>
      <c r="L233" s="299"/>
      <c r="M233" s="301" t="str">
        <f t="array" ref="M233">IF(B233="","", INDEX(Ingredients!H:H, MATCH(B233, Ingredients!B:B,0)))</f>
        <v/>
      </c>
      <c r="N233" s="42"/>
      <c r="O233" s="42"/>
      <c r="P233" s="299"/>
      <c r="Q233" s="302" t="str">
        <f t="shared" si="1"/>
        <v/>
      </c>
      <c r="R233" s="42"/>
      <c r="S233" s="42"/>
      <c r="T233" s="44"/>
      <c r="U233" s="114"/>
      <c r="V233" s="101"/>
      <c r="W233" s="298"/>
      <c r="X233" s="42"/>
      <c r="Y233" s="42"/>
      <c r="Z233" s="42"/>
      <c r="AA233" s="299"/>
      <c r="AB233" s="300"/>
      <c r="AC233" s="42"/>
      <c r="AD233" s="299"/>
      <c r="AE233" s="301" t="str">
        <f t="array" ref="AE233">IF(W233="","", INDEX(Other!G:G, MATCH(W233, Other!B:B,0)))</f>
        <v/>
      </c>
      <c r="AF233" s="42"/>
      <c r="AG233" s="299"/>
      <c r="AH233" s="301" t="str">
        <f t="array" ref="AH233">IF(W233="","", INDEX(Other!H:H, MATCH(W233, Other!B:B,0)))</f>
        <v/>
      </c>
      <c r="AI233" s="42"/>
      <c r="AJ233" s="42"/>
      <c r="AK233" s="299"/>
      <c r="AL233" s="301" t="str">
        <f t="shared" si="2"/>
        <v/>
      </c>
      <c r="AM233" s="42"/>
      <c r="AN233" s="42"/>
      <c r="AO233" s="44"/>
      <c r="AP233" s="114"/>
      <c r="AQ233" s="83"/>
      <c r="AR233" s="83"/>
      <c r="AS233" s="83"/>
      <c r="AT233" s="83"/>
      <c r="AU233" s="83"/>
      <c r="AV233" s="83"/>
      <c r="AW233" s="83"/>
      <c r="AX233" s="83"/>
      <c r="AY233" s="83"/>
      <c r="AZ233" s="83"/>
      <c r="BA233" s="83"/>
      <c r="BB233" s="83"/>
    </row>
    <row r="234">
      <c r="A234" s="101"/>
      <c r="B234" s="298"/>
      <c r="C234" s="42"/>
      <c r="D234" s="42"/>
      <c r="E234" s="42"/>
      <c r="F234" s="299"/>
      <c r="G234" s="300"/>
      <c r="H234" s="42"/>
      <c r="I234" s="299"/>
      <c r="J234" s="301" t="str">
        <f t="array" ref="J234">IF(B234="","", INDEX(Ingredients!G:G, MATCH(B234, Ingredients!B:B,0)))</f>
        <v/>
      </c>
      <c r="K234" s="42"/>
      <c r="L234" s="299"/>
      <c r="M234" s="301" t="str">
        <f t="array" ref="M234">IF(B234="","", INDEX(Ingredients!H:H, MATCH(B234, Ingredients!B:B,0)))</f>
        <v/>
      </c>
      <c r="N234" s="42"/>
      <c r="O234" s="42"/>
      <c r="P234" s="299"/>
      <c r="Q234" s="302" t="str">
        <f t="shared" si="1"/>
        <v/>
      </c>
      <c r="R234" s="42"/>
      <c r="S234" s="42"/>
      <c r="T234" s="44"/>
      <c r="U234" s="114"/>
      <c r="V234" s="101"/>
      <c r="W234" s="298"/>
      <c r="X234" s="42"/>
      <c r="Y234" s="42"/>
      <c r="Z234" s="42"/>
      <c r="AA234" s="299"/>
      <c r="AB234" s="300"/>
      <c r="AC234" s="42"/>
      <c r="AD234" s="299"/>
      <c r="AE234" s="301" t="str">
        <f t="array" ref="AE234">IF(W234="","", INDEX(Other!G:G, MATCH(W234, Other!B:B,0)))</f>
        <v/>
      </c>
      <c r="AF234" s="42"/>
      <c r="AG234" s="299"/>
      <c r="AH234" s="301" t="str">
        <f t="array" ref="AH234">IF(W234="","", INDEX(Other!H:H, MATCH(W234, Other!B:B,0)))</f>
        <v/>
      </c>
      <c r="AI234" s="42"/>
      <c r="AJ234" s="42"/>
      <c r="AK234" s="299"/>
      <c r="AL234" s="301" t="str">
        <f t="shared" si="2"/>
        <v/>
      </c>
      <c r="AM234" s="42"/>
      <c r="AN234" s="42"/>
      <c r="AO234" s="44"/>
      <c r="AP234" s="114"/>
      <c r="AQ234" s="83"/>
      <c r="AR234" s="83"/>
      <c r="AS234" s="83"/>
      <c r="AT234" s="83"/>
      <c r="AU234" s="83"/>
      <c r="AV234" s="83"/>
      <c r="AW234" s="83"/>
      <c r="AX234" s="83"/>
      <c r="AY234" s="83"/>
      <c r="AZ234" s="83"/>
      <c r="BA234" s="83"/>
      <c r="BB234" s="83"/>
    </row>
    <row r="235">
      <c r="A235" s="101"/>
      <c r="B235" s="298"/>
      <c r="C235" s="42"/>
      <c r="D235" s="42"/>
      <c r="E235" s="42"/>
      <c r="F235" s="299"/>
      <c r="G235" s="300"/>
      <c r="H235" s="42"/>
      <c r="I235" s="299"/>
      <c r="J235" s="301" t="str">
        <f t="array" ref="J235">IF(B235="","", INDEX(Ingredients!G:G, MATCH(B235, Ingredients!B:B,0)))</f>
        <v/>
      </c>
      <c r="K235" s="42"/>
      <c r="L235" s="299"/>
      <c r="M235" s="301" t="str">
        <f t="array" ref="M235">IF(B235="","", INDEX(Ingredients!H:H, MATCH(B235, Ingredients!B:B,0)))</f>
        <v/>
      </c>
      <c r="N235" s="42"/>
      <c r="O235" s="42"/>
      <c r="P235" s="299"/>
      <c r="Q235" s="302" t="str">
        <f t="shared" si="1"/>
        <v/>
      </c>
      <c r="R235" s="42"/>
      <c r="S235" s="42"/>
      <c r="T235" s="44"/>
      <c r="U235" s="114"/>
      <c r="V235" s="101"/>
      <c r="W235" s="298"/>
      <c r="X235" s="42"/>
      <c r="Y235" s="42"/>
      <c r="Z235" s="42"/>
      <c r="AA235" s="299"/>
      <c r="AB235" s="300"/>
      <c r="AC235" s="42"/>
      <c r="AD235" s="299"/>
      <c r="AE235" s="301" t="str">
        <f t="array" ref="AE235">IF(W235="","", INDEX(Other!G:G, MATCH(W235, Other!B:B,0)))</f>
        <v/>
      </c>
      <c r="AF235" s="42"/>
      <c r="AG235" s="299"/>
      <c r="AH235" s="301" t="str">
        <f t="array" ref="AH235">IF(W235="","", INDEX(Other!H:H, MATCH(W235, Other!B:B,0)))</f>
        <v/>
      </c>
      <c r="AI235" s="42"/>
      <c r="AJ235" s="42"/>
      <c r="AK235" s="299"/>
      <c r="AL235" s="301" t="str">
        <f t="shared" si="2"/>
        <v/>
      </c>
      <c r="AM235" s="42"/>
      <c r="AN235" s="42"/>
      <c r="AO235" s="44"/>
      <c r="AP235" s="114"/>
      <c r="AQ235" s="83"/>
      <c r="AR235" s="83"/>
      <c r="AS235" s="83"/>
      <c r="AT235" s="83"/>
      <c r="AU235" s="83"/>
      <c r="AV235" s="83"/>
      <c r="AW235" s="83"/>
      <c r="AX235" s="83"/>
      <c r="AY235" s="83"/>
      <c r="AZ235" s="83"/>
      <c r="BA235" s="83"/>
      <c r="BB235" s="83"/>
    </row>
    <row r="236">
      <c r="A236" s="101"/>
      <c r="B236" s="298"/>
      <c r="C236" s="42"/>
      <c r="D236" s="42"/>
      <c r="E236" s="42"/>
      <c r="F236" s="299"/>
      <c r="G236" s="300"/>
      <c r="H236" s="42"/>
      <c r="I236" s="299"/>
      <c r="J236" s="301" t="str">
        <f t="array" ref="J236">IF(B236="","", INDEX(Ingredients!G:G, MATCH(B236, Ingredients!B:B,0)))</f>
        <v/>
      </c>
      <c r="K236" s="42"/>
      <c r="L236" s="299"/>
      <c r="M236" s="301" t="str">
        <f t="array" ref="M236">IF(B236="","", INDEX(Ingredients!H:H, MATCH(B236, Ingredients!B:B,0)))</f>
        <v/>
      </c>
      <c r="N236" s="42"/>
      <c r="O236" s="42"/>
      <c r="P236" s="299"/>
      <c r="Q236" s="302" t="str">
        <f t="shared" si="1"/>
        <v/>
      </c>
      <c r="R236" s="42"/>
      <c r="S236" s="42"/>
      <c r="T236" s="44"/>
      <c r="U236" s="114"/>
      <c r="V236" s="101"/>
      <c r="W236" s="298"/>
      <c r="X236" s="42"/>
      <c r="Y236" s="42"/>
      <c r="Z236" s="42"/>
      <c r="AA236" s="299"/>
      <c r="AB236" s="300"/>
      <c r="AC236" s="42"/>
      <c r="AD236" s="299"/>
      <c r="AE236" s="301" t="str">
        <f t="array" ref="AE236">IF(W236="","", INDEX(Other!G:G, MATCH(W236, Other!B:B,0)))</f>
        <v/>
      </c>
      <c r="AF236" s="42"/>
      <c r="AG236" s="299"/>
      <c r="AH236" s="301" t="str">
        <f t="array" ref="AH236">IF(W236="","", INDEX(Other!H:H, MATCH(W236, Other!B:B,0)))</f>
        <v/>
      </c>
      <c r="AI236" s="42"/>
      <c r="AJ236" s="42"/>
      <c r="AK236" s="299"/>
      <c r="AL236" s="301" t="str">
        <f t="shared" si="2"/>
        <v/>
      </c>
      <c r="AM236" s="42"/>
      <c r="AN236" s="42"/>
      <c r="AO236" s="44"/>
      <c r="AP236" s="114"/>
      <c r="AQ236" s="83"/>
      <c r="AR236" s="83"/>
      <c r="AS236" s="83"/>
      <c r="AT236" s="83"/>
      <c r="AU236" s="83"/>
      <c r="AV236" s="83"/>
      <c r="AW236" s="83"/>
      <c r="AX236" s="83"/>
      <c r="AY236" s="83"/>
      <c r="AZ236" s="83"/>
      <c r="BA236" s="83"/>
      <c r="BB236" s="83"/>
    </row>
    <row r="237">
      <c r="A237" s="101"/>
      <c r="B237" s="298"/>
      <c r="C237" s="42"/>
      <c r="D237" s="42"/>
      <c r="E237" s="42"/>
      <c r="F237" s="299"/>
      <c r="G237" s="300"/>
      <c r="H237" s="42"/>
      <c r="I237" s="299"/>
      <c r="J237" s="301" t="str">
        <f t="array" ref="J237">IF(B237="","", INDEX(Ingredients!G:G, MATCH(B237, Ingredients!B:B,0)))</f>
        <v/>
      </c>
      <c r="K237" s="42"/>
      <c r="L237" s="299"/>
      <c r="M237" s="301" t="str">
        <f t="array" ref="M237">IF(B237="","", INDEX(Ingredients!H:H, MATCH(B237, Ingredients!B:B,0)))</f>
        <v/>
      </c>
      <c r="N237" s="42"/>
      <c r="O237" s="42"/>
      <c r="P237" s="299"/>
      <c r="Q237" s="302" t="str">
        <f t="shared" si="1"/>
        <v/>
      </c>
      <c r="R237" s="42"/>
      <c r="S237" s="42"/>
      <c r="T237" s="44"/>
      <c r="U237" s="114"/>
      <c r="V237" s="101"/>
      <c r="W237" s="298"/>
      <c r="X237" s="42"/>
      <c r="Y237" s="42"/>
      <c r="Z237" s="42"/>
      <c r="AA237" s="299"/>
      <c r="AB237" s="300"/>
      <c r="AC237" s="42"/>
      <c r="AD237" s="299"/>
      <c r="AE237" s="301" t="str">
        <f t="array" ref="AE237">IF(W237="","", INDEX(Other!G:G, MATCH(W237, Other!B:B,0)))</f>
        <v/>
      </c>
      <c r="AF237" s="42"/>
      <c r="AG237" s="299"/>
      <c r="AH237" s="301" t="str">
        <f t="array" ref="AH237">IF(W237="","", INDEX(Other!H:H, MATCH(W237, Other!B:B,0)))</f>
        <v/>
      </c>
      <c r="AI237" s="42"/>
      <c r="AJ237" s="42"/>
      <c r="AK237" s="299"/>
      <c r="AL237" s="301" t="str">
        <f t="shared" si="2"/>
        <v/>
      </c>
      <c r="AM237" s="42"/>
      <c r="AN237" s="42"/>
      <c r="AO237" s="44"/>
      <c r="AP237" s="114"/>
      <c r="AQ237" s="83"/>
      <c r="AR237" s="83"/>
      <c r="AS237" s="83"/>
      <c r="AT237" s="83"/>
      <c r="AU237" s="83"/>
      <c r="AV237" s="83"/>
      <c r="AW237" s="83"/>
      <c r="AX237" s="83"/>
      <c r="AY237" s="83"/>
      <c r="AZ237" s="83"/>
      <c r="BA237" s="83"/>
      <c r="BB237" s="83"/>
    </row>
    <row r="238">
      <c r="A238" s="101"/>
      <c r="B238" s="298"/>
      <c r="C238" s="42"/>
      <c r="D238" s="42"/>
      <c r="E238" s="42"/>
      <c r="F238" s="299"/>
      <c r="G238" s="300"/>
      <c r="H238" s="42"/>
      <c r="I238" s="299"/>
      <c r="J238" s="301" t="str">
        <f t="array" ref="J238">IF(B238="","", INDEX(Ingredients!G:G, MATCH(B238, Ingredients!B:B,0)))</f>
        <v/>
      </c>
      <c r="K238" s="42"/>
      <c r="L238" s="299"/>
      <c r="M238" s="301" t="str">
        <f t="array" ref="M238">IF(B238="","", INDEX(Ingredients!H:H, MATCH(B238, Ingredients!B:B,0)))</f>
        <v/>
      </c>
      <c r="N238" s="42"/>
      <c r="O238" s="42"/>
      <c r="P238" s="299"/>
      <c r="Q238" s="302" t="str">
        <f t="shared" si="1"/>
        <v/>
      </c>
      <c r="R238" s="42"/>
      <c r="S238" s="42"/>
      <c r="T238" s="44"/>
      <c r="U238" s="114"/>
      <c r="V238" s="101"/>
      <c r="W238" s="298"/>
      <c r="X238" s="42"/>
      <c r="Y238" s="42"/>
      <c r="Z238" s="42"/>
      <c r="AA238" s="299"/>
      <c r="AB238" s="300"/>
      <c r="AC238" s="42"/>
      <c r="AD238" s="299"/>
      <c r="AE238" s="301" t="str">
        <f t="array" ref="AE238">IF(W238="","", INDEX(Other!G:G, MATCH(W238, Other!B:B,0)))</f>
        <v/>
      </c>
      <c r="AF238" s="42"/>
      <c r="AG238" s="299"/>
      <c r="AH238" s="301" t="str">
        <f t="array" ref="AH238">IF(W238="","", INDEX(Other!H:H, MATCH(W238, Other!B:B,0)))</f>
        <v/>
      </c>
      <c r="AI238" s="42"/>
      <c r="AJ238" s="42"/>
      <c r="AK238" s="299"/>
      <c r="AL238" s="301" t="str">
        <f t="shared" si="2"/>
        <v/>
      </c>
      <c r="AM238" s="42"/>
      <c r="AN238" s="42"/>
      <c r="AO238" s="44"/>
      <c r="AP238" s="114"/>
      <c r="AQ238" s="83"/>
      <c r="AR238" s="83"/>
      <c r="AS238" s="83"/>
      <c r="AT238" s="83"/>
      <c r="AU238" s="83"/>
      <c r="AV238" s="83"/>
      <c r="AW238" s="83"/>
      <c r="AX238" s="83"/>
      <c r="AY238" s="83"/>
      <c r="AZ238" s="83"/>
      <c r="BA238" s="83"/>
      <c r="BB238" s="83"/>
    </row>
    <row r="239">
      <c r="A239" s="101"/>
      <c r="B239" s="298"/>
      <c r="C239" s="42"/>
      <c r="D239" s="42"/>
      <c r="E239" s="42"/>
      <c r="F239" s="299"/>
      <c r="G239" s="300"/>
      <c r="H239" s="42"/>
      <c r="I239" s="299"/>
      <c r="J239" s="301" t="str">
        <f t="array" ref="J239">IF(B239="","", INDEX(Ingredients!G:G, MATCH(B239, Ingredients!B:B,0)))</f>
        <v/>
      </c>
      <c r="K239" s="42"/>
      <c r="L239" s="299"/>
      <c r="M239" s="301" t="str">
        <f t="array" ref="M239">IF(B239="","", INDEX(Ingredients!H:H, MATCH(B239, Ingredients!B:B,0)))</f>
        <v/>
      </c>
      <c r="N239" s="42"/>
      <c r="O239" s="42"/>
      <c r="P239" s="299"/>
      <c r="Q239" s="302" t="str">
        <f t="shared" si="1"/>
        <v/>
      </c>
      <c r="R239" s="42"/>
      <c r="S239" s="42"/>
      <c r="T239" s="44"/>
      <c r="U239" s="114"/>
      <c r="V239" s="101"/>
      <c r="W239" s="298"/>
      <c r="X239" s="42"/>
      <c r="Y239" s="42"/>
      <c r="Z239" s="42"/>
      <c r="AA239" s="299"/>
      <c r="AB239" s="300"/>
      <c r="AC239" s="42"/>
      <c r="AD239" s="299"/>
      <c r="AE239" s="301" t="str">
        <f t="array" ref="AE239">IF(W239="","", INDEX(Other!G:G, MATCH(W239, Other!B:B,0)))</f>
        <v/>
      </c>
      <c r="AF239" s="42"/>
      <c r="AG239" s="299"/>
      <c r="AH239" s="301" t="str">
        <f t="array" ref="AH239">IF(W239="","", INDEX(Other!H:H, MATCH(W239, Other!B:B,0)))</f>
        <v/>
      </c>
      <c r="AI239" s="42"/>
      <c r="AJ239" s="42"/>
      <c r="AK239" s="299"/>
      <c r="AL239" s="301" t="str">
        <f t="shared" si="2"/>
        <v/>
      </c>
      <c r="AM239" s="42"/>
      <c r="AN239" s="42"/>
      <c r="AO239" s="44"/>
      <c r="AP239" s="114"/>
      <c r="AQ239" s="83"/>
      <c r="AR239" s="83"/>
      <c r="AS239" s="83"/>
      <c r="AT239" s="83"/>
      <c r="AU239" s="83"/>
      <c r="AV239" s="83"/>
      <c r="AW239" s="83"/>
      <c r="AX239" s="83"/>
      <c r="AY239" s="83"/>
      <c r="AZ239" s="83"/>
      <c r="BA239" s="83"/>
      <c r="BB239" s="83"/>
    </row>
    <row r="240">
      <c r="A240" s="101"/>
      <c r="B240" s="298"/>
      <c r="C240" s="42"/>
      <c r="D240" s="42"/>
      <c r="E240" s="42"/>
      <c r="F240" s="299"/>
      <c r="G240" s="300"/>
      <c r="H240" s="42"/>
      <c r="I240" s="299"/>
      <c r="J240" s="301" t="str">
        <f t="array" ref="J240">IF(B240="","", INDEX(Ingredients!G:G, MATCH(B240, Ingredients!B:B,0)))</f>
        <v/>
      </c>
      <c r="K240" s="42"/>
      <c r="L240" s="299"/>
      <c r="M240" s="301" t="str">
        <f t="array" ref="M240">IF(B240="","", INDEX(Ingredients!H:H, MATCH(B240, Ingredients!B:B,0)))</f>
        <v/>
      </c>
      <c r="N240" s="42"/>
      <c r="O240" s="42"/>
      <c r="P240" s="299"/>
      <c r="Q240" s="302" t="str">
        <f t="shared" si="1"/>
        <v/>
      </c>
      <c r="R240" s="42"/>
      <c r="S240" s="42"/>
      <c r="T240" s="44"/>
      <c r="U240" s="114"/>
      <c r="V240" s="101"/>
      <c r="W240" s="298"/>
      <c r="X240" s="42"/>
      <c r="Y240" s="42"/>
      <c r="Z240" s="42"/>
      <c r="AA240" s="299"/>
      <c r="AB240" s="300"/>
      <c r="AC240" s="42"/>
      <c r="AD240" s="299"/>
      <c r="AE240" s="301" t="str">
        <f t="array" ref="AE240">IF(W240="","", INDEX(Other!G:G, MATCH(W240, Other!B:B,0)))</f>
        <v/>
      </c>
      <c r="AF240" s="42"/>
      <c r="AG240" s="299"/>
      <c r="AH240" s="301" t="str">
        <f t="array" ref="AH240">IF(W240="","", INDEX(Other!H:H, MATCH(W240, Other!B:B,0)))</f>
        <v/>
      </c>
      <c r="AI240" s="42"/>
      <c r="AJ240" s="42"/>
      <c r="AK240" s="299"/>
      <c r="AL240" s="301" t="str">
        <f t="shared" si="2"/>
        <v/>
      </c>
      <c r="AM240" s="42"/>
      <c r="AN240" s="42"/>
      <c r="AO240" s="44"/>
      <c r="AP240" s="114"/>
      <c r="AQ240" s="83"/>
      <c r="AR240" s="83"/>
      <c r="AS240" s="83"/>
      <c r="AT240" s="83"/>
      <c r="AU240" s="83"/>
      <c r="AV240" s="83"/>
      <c r="AW240" s="83"/>
      <c r="AX240" s="83"/>
      <c r="AY240" s="83"/>
      <c r="AZ240" s="83"/>
      <c r="BA240" s="83"/>
      <c r="BB240" s="83"/>
    </row>
    <row r="241">
      <c r="A241" s="101"/>
      <c r="B241" s="298"/>
      <c r="C241" s="42"/>
      <c r="D241" s="42"/>
      <c r="E241" s="42"/>
      <c r="F241" s="299"/>
      <c r="G241" s="300"/>
      <c r="H241" s="42"/>
      <c r="I241" s="299"/>
      <c r="J241" s="301" t="str">
        <f t="array" ref="J241">IF(B241="","", INDEX(Ingredients!G:G, MATCH(B241, Ingredients!B:B,0)))</f>
        <v/>
      </c>
      <c r="K241" s="42"/>
      <c r="L241" s="299"/>
      <c r="M241" s="301" t="str">
        <f t="array" ref="M241">IF(B241="","", INDEX(Ingredients!H:H, MATCH(B241, Ingredients!B:B,0)))</f>
        <v/>
      </c>
      <c r="N241" s="42"/>
      <c r="O241" s="42"/>
      <c r="P241" s="299"/>
      <c r="Q241" s="302" t="str">
        <f t="shared" si="1"/>
        <v/>
      </c>
      <c r="R241" s="42"/>
      <c r="S241" s="42"/>
      <c r="T241" s="44"/>
      <c r="U241" s="114"/>
      <c r="V241" s="101"/>
      <c r="W241" s="298"/>
      <c r="X241" s="42"/>
      <c r="Y241" s="42"/>
      <c r="Z241" s="42"/>
      <c r="AA241" s="299"/>
      <c r="AB241" s="300"/>
      <c r="AC241" s="42"/>
      <c r="AD241" s="299"/>
      <c r="AE241" s="301" t="str">
        <f t="array" ref="AE241">IF(W241="","", INDEX(Other!G:G, MATCH(W241, Other!B:B,0)))</f>
        <v/>
      </c>
      <c r="AF241" s="42"/>
      <c r="AG241" s="299"/>
      <c r="AH241" s="301" t="str">
        <f t="array" ref="AH241">IF(W241="","", INDEX(Other!H:H, MATCH(W241, Other!B:B,0)))</f>
        <v/>
      </c>
      <c r="AI241" s="42"/>
      <c r="AJ241" s="42"/>
      <c r="AK241" s="299"/>
      <c r="AL241" s="301" t="str">
        <f t="shared" si="2"/>
        <v/>
      </c>
      <c r="AM241" s="42"/>
      <c r="AN241" s="42"/>
      <c r="AO241" s="44"/>
      <c r="AP241" s="114"/>
      <c r="AQ241" s="83"/>
      <c r="AR241" s="83"/>
      <c r="AS241" s="83"/>
      <c r="AT241" s="83"/>
      <c r="AU241" s="83"/>
      <c r="AV241" s="83"/>
      <c r="AW241" s="83"/>
      <c r="AX241" s="83"/>
      <c r="AY241" s="83"/>
      <c r="AZ241" s="83"/>
      <c r="BA241" s="83"/>
      <c r="BB241" s="83"/>
    </row>
    <row r="242">
      <c r="A242" s="101"/>
      <c r="B242" s="298"/>
      <c r="C242" s="42"/>
      <c r="D242" s="42"/>
      <c r="E242" s="42"/>
      <c r="F242" s="299"/>
      <c r="G242" s="300"/>
      <c r="H242" s="42"/>
      <c r="I242" s="299"/>
      <c r="J242" s="301" t="str">
        <f t="array" ref="J242">IF(B242="","", INDEX(Ingredients!G:G, MATCH(B242, Ingredients!B:B,0)))</f>
        <v/>
      </c>
      <c r="K242" s="42"/>
      <c r="L242" s="299"/>
      <c r="M242" s="301" t="str">
        <f t="array" ref="M242">IF(B242="","", INDEX(Ingredients!H:H, MATCH(B242, Ingredients!B:B,0)))</f>
        <v/>
      </c>
      <c r="N242" s="42"/>
      <c r="O242" s="42"/>
      <c r="P242" s="299"/>
      <c r="Q242" s="302" t="str">
        <f t="shared" si="1"/>
        <v/>
      </c>
      <c r="R242" s="42"/>
      <c r="S242" s="42"/>
      <c r="T242" s="44"/>
      <c r="U242" s="114"/>
      <c r="V242" s="101"/>
      <c r="W242" s="298"/>
      <c r="X242" s="42"/>
      <c r="Y242" s="42"/>
      <c r="Z242" s="42"/>
      <c r="AA242" s="299"/>
      <c r="AB242" s="300"/>
      <c r="AC242" s="42"/>
      <c r="AD242" s="299"/>
      <c r="AE242" s="301" t="str">
        <f t="array" ref="AE242">IF(W242="","", INDEX(Other!G:G, MATCH(W242, Other!B:B,0)))</f>
        <v/>
      </c>
      <c r="AF242" s="42"/>
      <c r="AG242" s="299"/>
      <c r="AH242" s="301" t="str">
        <f t="array" ref="AH242">IF(W242="","", INDEX(Other!H:H, MATCH(W242, Other!B:B,0)))</f>
        <v/>
      </c>
      <c r="AI242" s="42"/>
      <c r="AJ242" s="42"/>
      <c r="AK242" s="299"/>
      <c r="AL242" s="301" t="str">
        <f t="shared" si="2"/>
        <v/>
      </c>
      <c r="AM242" s="42"/>
      <c r="AN242" s="42"/>
      <c r="AO242" s="44"/>
      <c r="AP242" s="114"/>
      <c r="AQ242" s="83"/>
      <c r="AR242" s="83"/>
      <c r="AS242" s="83"/>
      <c r="AT242" s="83"/>
      <c r="AU242" s="83"/>
      <c r="AV242" s="83"/>
      <c r="AW242" s="83"/>
      <c r="AX242" s="83"/>
      <c r="AY242" s="83"/>
      <c r="AZ242" s="83"/>
      <c r="BA242" s="83"/>
      <c r="BB242" s="83"/>
    </row>
    <row r="243">
      <c r="A243" s="101"/>
      <c r="B243" s="298"/>
      <c r="C243" s="42"/>
      <c r="D243" s="42"/>
      <c r="E243" s="42"/>
      <c r="F243" s="299"/>
      <c r="G243" s="300"/>
      <c r="H243" s="42"/>
      <c r="I243" s="299"/>
      <c r="J243" s="301" t="str">
        <f t="array" ref="J243">IF(B243="","", INDEX(Ingredients!G:G, MATCH(B243, Ingredients!B:B,0)))</f>
        <v/>
      </c>
      <c r="K243" s="42"/>
      <c r="L243" s="299"/>
      <c r="M243" s="301" t="str">
        <f t="array" ref="M243">IF(B243="","", INDEX(Ingredients!H:H, MATCH(B243, Ingredients!B:B,0)))</f>
        <v/>
      </c>
      <c r="N243" s="42"/>
      <c r="O243" s="42"/>
      <c r="P243" s="299"/>
      <c r="Q243" s="302" t="str">
        <f t="shared" si="1"/>
        <v/>
      </c>
      <c r="R243" s="42"/>
      <c r="S243" s="42"/>
      <c r="T243" s="44"/>
      <c r="U243" s="114"/>
      <c r="V243" s="101"/>
      <c r="W243" s="298"/>
      <c r="X243" s="42"/>
      <c r="Y243" s="42"/>
      <c r="Z243" s="42"/>
      <c r="AA243" s="299"/>
      <c r="AB243" s="300"/>
      <c r="AC243" s="42"/>
      <c r="AD243" s="299"/>
      <c r="AE243" s="301" t="str">
        <f t="array" ref="AE243">IF(W243="","", INDEX(Other!G:G, MATCH(W243, Other!B:B,0)))</f>
        <v/>
      </c>
      <c r="AF243" s="42"/>
      <c r="AG243" s="299"/>
      <c r="AH243" s="301" t="str">
        <f t="array" ref="AH243">IF(W243="","", INDEX(Other!H:H, MATCH(W243, Other!B:B,0)))</f>
        <v/>
      </c>
      <c r="AI243" s="42"/>
      <c r="AJ243" s="42"/>
      <c r="AK243" s="299"/>
      <c r="AL243" s="301" t="str">
        <f t="shared" si="2"/>
        <v/>
      </c>
      <c r="AM243" s="42"/>
      <c r="AN243" s="42"/>
      <c r="AO243" s="44"/>
      <c r="AP243" s="114"/>
      <c r="AQ243" s="83"/>
      <c r="AR243" s="83"/>
      <c r="AS243" s="83"/>
      <c r="AT243" s="83"/>
      <c r="AU243" s="83"/>
      <c r="AV243" s="83"/>
      <c r="AW243" s="83"/>
      <c r="AX243" s="83"/>
      <c r="AY243" s="83"/>
      <c r="AZ243" s="83"/>
      <c r="BA243" s="83"/>
      <c r="BB243" s="83"/>
    </row>
    <row r="244">
      <c r="A244" s="101"/>
      <c r="B244" s="298"/>
      <c r="C244" s="42"/>
      <c r="D244" s="42"/>
      <c r="E244" s="42"/>
      <c r="F244" s="299"/>
      <c r="G244" s="300"/>
      <c r="H244" s="42"/>
      <c r="I244" s="299"/>
      <c r="J244" s="301" t="str">
        <f t="array" ref="J244">IF(B244="","", INDEX(Ingredients!G:G, MATCH(B244, Ingredients!B:B,0)))</f>
        <v/>
      </c>
      <c r="K244" s="42"/>
      <c r="L244" s="299"/>
      <c r="M244" s="301" t="str">
        <f t="array" ref="M244">IF(B244="","", INDEX(Ingredients!H:H, MATCH(B244, Ingredients!B:B,0)))</f>
        <v/>
      </c>
      <c r="N244" s="42"/>
      <c r="O244" s="42"/>
      <c r="P244" s="299"/>
      <c r="Q244" s="302" t="str">
        <f t="shared" si="1"/>
        <v/>
      </c>
      <c r="R244" s="42"/>
      <c r="S244" s="42"/>
      <c r="T244" s="44"/>
      <c r="U244" s="114"/>
      <c r="V244" s="101"/>
      <c r="W244" s="298"/>
      <c r="X244" s="42"/>
      <c r="Y244" s="42"/>
      <c r="Z244" s="42"/>
      <c r="AA244" s="299"/>
      <c r="AB244" s="300"/>
      <c r="AC244" s="42"/>
      <c r="AD244" s="299"/>
      <c r="AE244" s="301" t="str">
        <f t="array" ref="AE244">IF(W244="","", INDEX(Other!G:G, MATCH(W244, Other!B:B,0)))</f>
        <v/>
      </c>
      <c r="AF244" s="42"/>
      <c r="AG244" s="299"/>
      <c r="AH244" s="301" t="str">
        <f t="array" ref="AH244">IF(W244="","", INDEX(Other!H:H, MATCH(W244, Other!B:B,0)))</f>
        <v/>
      </c>
      <c r="AI244" s="42"/>
      <c r="AJ244" s="42"/>
      <c r="AK244" s="299"/>
      <c r="AL244" s="301" t="str">
        <f t="shared" si="2"/>
        <v/>
      </c>
      <c r="AM244" s="42"/>
      <c r="AN244" s="42"/>
      <c r="AO244" s="44"/>
      <c r="AP244" s="114"/>
      <c r="AQ244" s="83"/>
      <c r="AR244" s="83"/>
      <c r="AS244" s="83"/>
      <c r="AT244" s="83"/>
      <c r="AU244" s="83"/>
      <c r="AV244" s="83"/>
      <c r="AW244" s="83"/>
      <c r="AX244" s="83"/>
      <c r="AY244" s="83"/>
      <c r="AZ244" s="83"/>
      <c r="BA244" s="83"/>
      <c r="BB244" s="83"/>
    </row>
    <row r="245">
      <c r="A245" s="101"/>
      <c r="B245" s="298"/>
      <c r="C245" s="42"/>
      <c r="D245" s="42"/>
      <c r="E245" s="42"/>
      <c r="F245" s="299"/>
      <c r="G245" s="300"/>
      <c r="H245" s="42"/>
      <c r="I245" s="299"/>
      <c r="J245" s="301" t="str">
        <f t="array" ref="J245">IF(B245="","", INDEX(Ingredients!G:G, MATCH(B245, Ingredients!B:B,0)))</f>
        <v/>
      </c>
      <c r="K245" s="42"/>
      <c r="L245" s="299"/>
      <c r="M245" s="301" t="str">
        <f t="array" ref="M245">IF(B245="","", INDEX(Ingredients!H:H, MATCH(B245, Ingredients!B:B,0)))</f>
        <v/>
      </c>
      <c r="N245" s="42"/>
      <c r="O245" s="42"/>
      <c r="P245" s="299"/>
      <c r="Q245" s="302" t="str">
        <f t="shared" si="1"/>
        <v/>
      </c>
      <c r="R245" s="42"/>
      <c r="S245" s="42"/>
      <c r="T245" s="44"/>
      <c r="U245" s="114"/>
      <c r="V245" s="101"/>
      <c r="W245" s="298"/>
      <c r="X245" s="42"/>
      <c r="Y245" s="42"/>
      <c r="Z245" s="42"/>
      <c r="AA245" s="299"/>
      <c r="AB245" s="300"/>
      <c r="AC245" s="42"/>
      <c r="AD245" s="299"/>
      <c r="AE245" s="301" t="str">
        <f t="array" ref="AE245">IF(W245="","", INDEX(Other!G:G, MATCH(W245, Other!B:B,0)))</f>
        <v/>
      </c>
      <c r="AF245" s="42"/>
      <c r="AG245" s="299"/>
      <c r="AH245" s="301" t="str">
        <f t="array" ref="AH245">IF(W245="","", INDEX(Other!H:H, MATCH(W245, Other!B:B,0)))</f>
        <v/>
      </c>
      <c r="AI245" s="42"/>
      <c r="AJ245" s="42"/>
      <c r="AK245" s="299"/>
      <c r="AL245" s="301" t="str">
        <f t="shared" si="2"/>
        <v/>
      </c>
      <c r="AM245" s="42"/>
      <c r="AN245" s="42"/>
      <c r="AO245" s="44"/>
      <c r="AP245" s="114"/>
      <c r="AQ245" s="83"/>
      <c r="AR245" s="83"/>
      <c r="AS245" s="83"/>
      <c r="AT245" s="83"/>
      <c r="AU245" s="83"/>
      <c r="AV245" s="83"/>
      <c r="AW245" s="83"/>
      <c r="AX245" s="83"/>
      <c r="AY245" s="83"/>
      <c r="AZ245" s="83"/>
      <c r="BA245" s="83"/>
      <c r="BB245" s="83"/>
    </row>
    <row r="246">
      <c r="A246" s="101"/>
      <c r="B246" s="298"/>
      <c r="C246" s="42"/>
      <c r="D246" s="42"/>
      <c r="E246" s="42"/>
      <c r="F246" s="299"/>
      <c r="G246" s="300"/>
      <c r="H246" s="42"/>
      <c r="I246" s="299"/>
      <c r="J246" s="301" t="str">
        <f t="array" ref="J246">IF(B246="","", INDEX(Ingredients!G:G, MATCH(B246, Ingredients!B:B,0)))</f>
        <v/>
      </c>
      <c r="K246" s="42"/>
      <c r="L246" s="299"/>
      <c r="M246" s="301" t="str">
        <f t="array" ref="M246">IF(B246="","", INDEX(Ingredients!H:H, MATCH(B246, Ingredients!B:B,0)))</f>
        <v/>
      </c>
      <c r="N246" s="42"/>
      <c r="O246" s="42"/>
      <c r="P246" s="299"/>
      <c r="Q246" s="302" t="str">
        <f t="shared" si="1"/>
        <v/>
      </c>
      <c r="R246" s="42"/>
      <c r="S246" s="42"/>
      <c r="T246" s="44"/>
      <c r="U246" s="114"/>
      <c r="V246" s="101"/>
      <c r="W246" s="298"/>
      <c r="X246" s="42"/>
      <c r="Y246" s="42"/>
      <c r="Z246" s="42"/>
      <c r="AA246" s="299"/>
      <c r="AB246" s="300"/>
      <c r="AC246" s="42"/>
      <c r="AD246" s="299"/>
      <c r="AE246" s="301" t="str">
        <f t="array" ref="AE246">IF(W246="","", INDEX(Other!G:G, MATCH(W246, Other!B:B,0)))</f>
        <v/>
      </c>
      <c r="AF246" s="42"/>
      <c r="AG246" s="299"/>
      <c r="AH246" s="301" t="str">
        <f t="array" ref="AH246">IF(W246="","", INDEX(Other!H:H, MATCH(W246, Other!B:B,0)))</f>
        <v/>
      </c>
      <c r="AI246" s="42"/>
      <c r="AJ246" s="42"/>
      <c r="AK246" s="299"/>
      <c r="AL246" s="301" t="str">
        <f t="shared" si="2"/>
        <v/>
      </c>
      <c r="AM246" s="42"/>
      <c r="AN246" s="42"/>
      <c r="AO246" s="44"/>
      <c r="AP246" s="114"/>
      <c r="AQ246" s="83"/>
      <c r="AR246" s="83"/>
      <c r="AS246" s="83"/>
      <c r="AT246" s="83"/>
      <c r="AU246" s="83"/>
      <c r="AV246" s="83"/>
      <c r="AW246" s="83"/>
      <c r="AX246" s="83"/>
      <c r="AY246" s="83"/>
      <c r="AZ246" s="83"/>
      <c r="BA246" s="83"/>
      <c r="BB246" s="83"/>
    </row>
    <row r="247">
      <c r="A247" s="101"/>
      <c r="B247" s="298"/>
      <c r="C247" s="42"/>
      <c r="D247" s="42"/>
      <c r="E247" s="42"/>
      <c r="F247" s="299"/>
      <c r="G247" s="300"/>
      <c r="H247" s="42"/>
      <c r="I247" s="299"/>
      <c r="J247" s="301" t="str">
        <f t="array" ref="J247">IF(B247="","", INDEX(Ingredients!G:G, MATCH(B247, Ingredients!B:B,0)))</f>
        <v/>
      </c>
      <c r="K247" s="42"/>
      <c r="L247" s="299"/>
      <c r="M247" s="301" t="str">
        <f t="array" ref="M247">IF(B247="","", INDEX(Ingredients!H:H, MATCH(B247, Ingredients!B:B,0)))</f>
        <v/>
      </c>
      <c r="N247" s="42"/>
      <c r="O247" s="42"/>
      <c r="P247" s="299"/>
      <c r="Q247" s="302" t="str">
        <f t="shared" si="1"/>
        <v/>
      </c>
      <c r="R247" s="42"/>
      <c r="S247" s="42"/>
      <c r="T247" s="44"/>
      <c r="U247" s="114"/>
      <c r="V247" s="101"/>
      <c r="W247" s="298"/>
      <c r="X247" s="42"/>
      <c r="Y247" s="42"/>
      <c r="Z247" s="42"/>
      <c r="AA247" s="299"/>
      <c r="AB247" s="300"/>
      <c r="AC247" s="42"/>
      <c r="AD247" s="299"/>
      <c r="AE247" s="301" t="str">
        <f t="array" ref="AE247">IF(W247="","", INDEX(Other!G:G, MATCH(W247, Other!B:B,0)))</f>
        <v/>
      </c>
      <c r="AF247" s="42"/>
      <c r="AG247" s="299"/>
      <c r="AH247" s="301" t="str">
        <f t="array" ref="AH247">IF(W247="","", INDEX(Other!H:H, MATCH(W247, Other!B:B,0)))</f>
        <v/>
      </c>
      <c r="AI247" s="42"/>
      <c r="AJ247" s="42"/>
      <c r="AK247" s="299"/>
      <c r="AL247" s="301" t="str">
        <f t="shared" si="2"/>
        <v/>
      </c>
      <c r="AM247" s="42"/>
      <c r="AN247" s="42"/>
      <c r="AO247" s="44"/>
      <c r="AP247" s="114"/>
      <c r="AQ247" s="83"/>
      <c r="AR247" s="83"/>
      <c r="AS247" s="83"/>
      <c r="AT247" s="83"/>
      <c r="AU247" s="83"/>
      <c r="AV247" s="83"/>
      <c r="AW247" s="83"/>
      <c r="AX247" s="83"/>
      <c r="AY247" s="83"/>
      <c r="AZ247" s="83"/>
      <c r="BA247" s="83"/>
      <c r="BB247" s="83"/>
    </row>
    <row r="248">
      <c r="A248" s="101"/>
      <c r="B248" s="298"/>
      <c r="C248" s="42"/>
      <c r="D248" s="42"/>
      <c r="E248" s="42"/>
      <c r="F248" s="299"/>
      <c r="G248" s="300"/>
      <c r="H248" s="42"/>
      <c r="I248" s="299"/>
      <c r="J248" s="301" t="str">
        <f t="array" ref="J248">IF(B248="","", INDEX(Ingredients!G:G, MATCH(B248, Ingredients!B:B,0)))</f>
        <v/>
      </c>
      <c r="K248" s="42"/>
      <c r="L248" s="299"/>
      <c r="M248" s="301" t="str">
        <f t="array" ref="M248">IF(B248="","", INDEX(Ingredients!H:H, MATCH(B248, Ingredients!B:B,0)))</f>
        <v/>
      </c>
      <c r="N248" s="42"/>
      <c r="O248" s="42"/>
      <c r="P248" s="299"/>
      <c r="Q248" s="302" t="str">
        <f t="shared" si="1"/>
        <v/>
      </c>
      <c r="R248" s="42"/>
      <c r="S248" s="42"/>
      <c r="T248" s="44"/>
      <c r="U248" s="114"/>
      <c r="V248" s="101"/>
      <c r="W248" s="298"/>
      <c r="X248" s="42"/>
      <c r="Y248" s="42"/>
      <c r="Z248" s="42"/>
      <c r="AA248" s="299"/>
      <c r="AB248" s="300"/>
      <c r="AC248" s="42"/>
      <c r="AD248" s="299"/>
      <c r="AE248" s="301" t="str">
        <f t="array" ref="AE248">IF(W248="","", INDEX(Other!G:G, MATCH(W248, Other!B:B,0)))</f>
        <v/>
      </c>
      <c r="AF248" s="42"/>
      <c r="AG248" s="299"/>
      <c r="AH248" s="301" t="str">
        <f t="array" ref="AH248">IF(W248="","", INDEX(Other!H:H, MATCH(W248, Other!B:B,0)))</f>
        <v/>
      </c>
      <c r="AI248" s="42"/>
      <c r="AJ248" s="42"/>
      <c r="AK248" s="299"/>
      <c r="AL248" s="301" t="str">
        <f t="shared" si="2"/>
        <v/>
      </c>
      <c r="AM248" s="42"/>
      <c r="AN248" s="42"/>
      <c r="AO248" s="44"/>
      <c r="AP248" s="114"/>
      <c r="AQ248" s="83"/>
      <c r="AR248" s="83"/>
      <c r="AS248" s="83"/>
      <c r="AT248" s="83"/>
      <c r="AU248" s="83"/>
      <c r="AV248" s="83"/>
      <c r="AW248" s="83"/>
      <c r="AX248" s="83"/>
      <c r="AY248" s="83"/>
      <c r="AZ248" s="83"/>
      <c r="BA248" s="83"/>
      <c r="BB248" s="83"/>
    </row>
    <row r="249">
      <c r="A249" s="101"/>
      <c r="B249" s="298"/>
      <c r="C249" s="42"/>
      <c r="D249" s="42"/>
      <c r="E249" s="42"/>
      <c r="F249" s="299"/>
      <c r="G249" s="300"/>
      <c r="H249" s="42"/>
      <c r="I249" s="299"/>
      <c r="J249" s="301" t="str">
        <f t="array" ref="J249">IF(B249="","", INDEX(Ingredients!G:G, MATCH(B249, Ingredients!B:B,0)))</f>
        <v/>
      </c>
      <c r="K249" s="42"/>
      <c r="L249" s="299"/>
      <c r="M249" s="301" t="str">
        <f t="array" ref="M249">IF(B249="","", INDEX(Ingredients!H:H, MATCH(B249, Ingredients!B:B,0)))</f>
        <v/>
      </c>
      <c r="N249" s="42"/>
      <c r="O249" s="42"/>
      <c r="P249" s="299"/>
      <c r="Q249" s="302" t="str">
        <f t="shared" si="1"/>
        <v/>
      </c>
      <c r="R249" s="42"/>
      <c r="S249" s="42"/>
      <c r="T249" s="44"/>
      <c r="U249" s="114"/>
      <c r="V249" s="101"/>
      <c r="W249" s="298"/>
      <c r="X249" s="42"/>
      <c r="Y249" s="42"/>
      <c r="Z249" s="42"/>
      <c r="AA249" s="299"/>
      <c r="AB249" s="300"/>
      <c r="AC249" s="42"/>
      <c r="AD249" s="299"/>
      <c r="AE249" s="301" t="str">
        <f t="array" ref="AE249">IF(W249="","", INDEX(Other!G:G, MATCH(W249, Other!B:B,0)))</f>
        <v/>
      </c>
      <c r="AF249" s="42"/>
      <c r="AG249" s="299"/>
      <c r="AH249" s="301" t="str">
        <f t="array" ref="AH249">IF(W249="","", INDEX(Other!H:H, MATCH(W249, Other!B:B,0)))</f>
        <v/>
      </c>
      <c r="AI249" s="42"/>
      <c r="AJ249" s="42"/>
      <c r="AK249" s="299"/>
      <c r="AL249" s="301" t="str">
        <f t="shared" si="2"/>
        <v/>
      </c>
      <c r="AM249" s="42"/>
      <c r="AN249" s="42"/>
      <c r="AO249" s="44"/>
      <c r="AP249" s="114"/>
      <c r="AQ249" s="83"/>
      <c r="AR249" s="83"/>
      <c r="AS249" s="83"/>
      <c r="AT249" s="83"/>
      <c r="AU249" s="83"/>
      <c r="AV249" s="83"/>
      <c r="AW249" s="83"/>
      <c r="AX249" s="83"/>
      <c r="AY249" s="83"/>
      <c r="AZ249" s="83"/>
      <c r="BA249" s="83"/>
      <c r="BB249" s="83"/>
    </row>
    <row r="250">
      <c r="A250" s="101"/>
      <c r="B250" s="298"/>
      <c r="C250" s="42"/>
      <c r="D250" s="42"/>
      <c r="E250" s="42"/>
      <c r="F250" s="299"/>
      <c r="G250" s="300"/>
      <c r="H250" s="42"/>
      <c r="I250" s="299"/>
      <c r="J250" s="301" t="str">
        <f t="array" ref="J250">IF(B250="","", INDEX(Ingredients!G:G, MATCH(B250, Ingredients!B:B,0)))</f>
        <v/>
      </c>
      <c r="K250" s="42"/>
      <c r="L250" s="299"/>
      <c r="M250" s="301" t="str">
        <f t="array" ref="M250">IF(B250="","", INDEX(Ingredients!H:H, MATCH(B250, Ingredients!B:B,0)))</f>
        <v/>
      </c>
      <c r="N250" s="42"/>
      <c r="O250" s="42"/>
      <c r="P250" s="299"/>
      <c r="Q250" s="302" t="str">
        <f t="shared" si="1"/>
        <v/>
      </c>
      <c r="R250" s="42"/>
      <c r="S250" s="42"/>
      <c r="T250" s="44"/>
      <c r="U250" s="114"/>
      <c r="V250" s="101"/>
      <c r="W250" s="298"/>
      <c r="X250" s="42"/>
      <c r="Y250" s="42"/>
      <c r="Z250" s="42"/>
      <c r="AA250" s="299"/>
      <c r="AB250" s="300"/>
      <c r="AC250" s="42"/>
      <c r="AD250" s="299"/>
      <c r="AE250" s="301" t="str">
        <f t="array" ref="AE250">IF(W250="","", INDEX(Other!G:G, MATCH(W250, Other!B:B,0)))</f>
        <v/>
      </c>
      <c r="AF250" s="42"/>
      <c r="AG250" s="299"/>
      <c r="AH250" s="301" t="str">
        <f t="array" ref="AH250">IF(W250="","", INDEX(Other!H:H, MATCH(W250, Other!B:B,0)))</f>
        <v/>
      </c>
      <c r="AI250" s="42"/>
      <c r="AJ250" s="42"/>
      <c r="AK250" s="299"/>
      <c r="AL250" s="301" t="str">
        <f t="shared" si="2"/>
        <v/>
      </c>
      <c r="AM250" s="42"/>
      <c r="AN250" s="42"/>
      <c r="AO250" s="44"/>
      <c r="AP250" s="114"/>
      <c r="AQ250" s="83"/>
      <c r="AR250" s="83"/>
      <c r="AS250" s="83"/>
      <c r="AT250" s="83"/>
      <c r="AU250" s="83"/>
      <c r="AV250" s="83"/>
      <c r="AW250" s="83"/>
      <c r="AX250" s="83"/>
      <c r="AY250" s="83"/>
      <c r="AZ250" s="83"/>
      <c r="BA250" s="83"/>
      <c r="BB250" s="83"/>
    </row>
    <row r="251">
      <c r="A251" s="101"/>
      <c r="B251" s="298"/>
      <c r="C251" s="42"/>
      <c r="D251" s="42"/>
      <c r="E251" s="42"/>
      <c r="F251" s="299"/>
      <c r="G251" s="300"/>
      <c r="H251" s="42"/>
      <c r="I251" s="299"/>
      <c r="J251" s="301" t="str">
        <f t="array" ref="J251">IF(B251="","", INDEX(Ingredients!G:G, MATCH(B251, Ingredients!B:B,0)))</f>
        <v/>
      </c>
      <c r="K251" s="42"/>
      <c r="L251" s="299"/>
      <c r="M251" s="301" t="str">
        <f t="array" ref="M251">IF(B251="","", INDEX(Ingredients!H:H, MATCH(B251, Ingredients!B:B,0)))</f>
        <v/>
      </c>
      <c r="N251" s="42"/>
      <c r="O251" s="42"/>
      <c r="P251" s="299"/>
      <c r="Q251" s="302" t="str">
        <f t="shared" si="1"/>
        <v/>
      </c>
      <c r="R251" s="42"/>
      <c r="S251" s="42"/>
      <c r="T251" s="44"/>
      <c r="U251" s="114"/>
      <c r="V251" s="101"/>
      <c r="W251" s="298"/>
      <c r="X251" s="42"/>
      <c r="Y251" s="42"/>
      <c r="Z251" s="42"/>
      <c r="AA251" s="299"/>
      <c r="AB251" s="300"/>
      <c r="AC251" s="42"/>
      <c r="AD251" s="299"/>
      <c r="AE251" s="301" t="str">
        <f t="array" ref="AE251">IF(W251="","", INDEX(Other!G:G, MATCH(W251, Other!B:B,0)))</f>
        <v/>
      </c>
      <c r="AF251" s="42"/>
      <c r="AG251" s="299"/>
      <c r="AH251" s="301" t="str">
        <f t="array" ref="AH251">IF(W251="","", INDEX(Other!H:H, MATCH(W251, Other!B:B,0)))</f>
        <v/>
      </c>
      <c r="AI251" s="42"/>
      <c r="AJ251" s="42"/>
      <c r="AK251" s="299"/>
      <c r="AL251" s="301" t="str">
        <f t="shared" si="2"/>
        <v/>
      </c>
      <c r="AM251" s="42"/>
      <c r="AN251" s="42"/>
      <c r="AO251" s="44"/>
      <c r="AP251" s="114"/>
      <c r="AQ251" s="83"/>
      <c r="AR251" s="83"/>
      <c r="AS251" s="83"/>
      <c r="AT251" s="83"/>
      <c r="AU251" s="83"/>
      <c r="AV251" s="83"/>
      <c r="AW251" s="83"/>
      <c r="AX251" s="83"/>
      <c r="AY251" s="83"/>
      <c r="AZ251" s="83"/>
      <c r="BA251" s="83"/>
      <c r="BB251" s="83"/>
    </row>
    <row r="252">
      <c r="A252" s="101"/>
      <c r="B252" s="298"/>
      <c r="C252" s="42"/>
      <c r="D252" s="42"/>
      <c r="E252" s="42"/>
      <c r="F252" s="299"/>
      <c r="G252" s="300"/>
      <c r="H252" s="42"/>
      <c r="I252" s="299"/>
      <c r="J252" s="301" t="str">
        <f t="array" ref="J252">IF(B252="","", INDEX(Ingredients!G:G, MATCH(B252, Ingredients!B:B,0)))</f>
        <v/>
      </c>
      <c r="K252" s="42"/>
      <c r="L252" s="299"/>
      <c r="M252" s="301" t="str">
        <f t="array" ref="M252">IF(B252="","", INDEX(Ingredients!H:H, MATCH(B252, Ingredients!B:B,0)))</f>
        <v/>
      </c>
      <c r="N252" s="42"/>
      <c r="O252" s="42"/>
      <c r="P252" s="299"/>
      <c r="Q252" s="302" t="str">
        <f t="shared" si="1"/>
        <v/>
      </c>
      <c r="R252" s="42"/>
      <c r="S252" s="42"/>
      <c r="T252" s="44"/>
      <c r="U252" s="114"/>
      <c r="V252" s="101"/>
      <c r="W252" s="298"/>
      <c r="X252" s="42"/>
      <c r="Y252" s="42"/>
      <c r="Z252" s="42"/>
      <c r="AA252" s="299"/>
      <c r="AB252" s="300"/>
      <c r="AC252" s="42"/>
      <c r="AD252" s="299"/>
      <c r="AE252" s="301" t="str">
        <f t="array" ref="AE252">IF(W252="","", INDEX(Other!G:G, MATCH(W252, Other!B:B,0)))</f>
        <v/>
      </c>
      <c r="AF252" s="42"/>
      <c r="AG252" s="299"/>
      <c r="AH252" s="301" t="str">
        <f t="array" ref="AH252">IF(W252="","", INDEX(Other!H:H, MATCH(W252, Other!B:B,0)))</f>
        <v/>
      </c>
      <c r="AI252" s="42"/>
      <c r="AJ252" s="42"/>
      <c r="AK252" s="299"/>
      <c r="AL252" s="301" t="str">
        <f t="shared" si="2"/>
        <v/>
      </c>
      <c r="AM252" s="42"/>
      <c r="AN252" s="42"/>
      <c r="AO252" s="44"/>
      <c r="AP252" s="114"/>
      <c r="AQ252" s="83"/>
      <c r="AR252" s="83"/>
      <c r="AS252" s="83"/>
      <c r="AT252" s="83"/>
      <c r="AU252" s="83"/>
      <c r="AV252" s="83"/>
      <c r="AW252" s="83"/>
      <c r="AX252" s="83"/>
      <c r="AY252" s="83"/>
      <c r="AZ252" s="83"/>
      <c r="BA252" s="83"/>
      <c r="BB252" s="83"/>
    </row>
    <row r="253">
      <c r="A253" s="101"/>
      <c r="B253" s="298"/>
      <c r="C253" s="42"/>
      <c r="D253" s="42"/>
      <c r="E253" s="42"/>
      <c r="F253" s="299"/>
      <c r="G253" s="300"/>
      <c r="H253" s="42"/>
      <c r="I253" s="299"/>
      <c r="J253" s="301" t="str">
        <f t="array" ref="J253">IF(B253="","", INDEX(Ingredients!G:G, MATCH(B253, Ingredients!B:B,0)))</f>
        <v/>
      </c>
      <c r="K253" s="42"/>
      <c r="L253" s="299"/>
      <c r="M253" s="301" t="str">
        <f t="array" ref="M253">IF(B253="","", INDEX(Ingredients!H:H, MATCH(B253, Ingredients!B:B,0)))</f>
        <v/>
      </c>
      <c r="N253" s="42"/>
      <c r="O253" s="42"/>
      <c r="P253" s="299"/>
      <c r="Q253" s="302" t="str">
        <f t="shared" si="1"/>
        <v/>
      </c>
      <c r="R253" s="42"/>
      <c r="S253" s="42"/>
      <c r="T253" s="44"/>
      <c r="U253" s="114"/>
      <c r="V253" s="101"/>
      <c r="W253" s="298"/>
      <c r="X253" s="42"/>
      <c r="Y253" s="42"/>
      <c r="Z253" s="42"/>
      <c r="AA253" s="299"/>
      <c r="AB253" s="300"/>
      <c r="AC253" s="42"/>
      <c r="AD253" s="299"/>
      <c r="AE253" s="301" t="str">
        <f t="array" ref="AE253">IF(W253="","", INDEX(Other!G:G, MATCH(W253, Other!B:B,0)))</f>
        <v/>
      </c>
      <c r="AF253" s="42"/>
      <c r="AG253" s="299"/>
      <c r="AH253" s="301" t="str">
        <f t="array" ref="AH253">IF(W253="","", INDEX(Other!H:H, MATCH(W253, Other!B:B,0)))</f>
        <v/>
      </c>
      <c r="AI253" s="42"/>
      <c r="AJ253" s="42"/>
      <c r="AK253" s="299"/>
      <c r="AL253" s="301" t="str">
        <f t="shared" si="2"/>
        <v/>
      </c>
      <c r="AM253" s="42"/>
      <c r="AN253" s="42"/>
      <c r="AO253" s="44"/>
      <c r="AP253" s="114"/>
      <c r="AQ253" s="83"/>
      <c r="AR253" s="83"/>
      <c r="AS253" s="83"/>
      <c r="AT253" s="83"/>
      <c r="AU253" s="83"/>
      <c r="AV253" s="83"/>
      <c r="AW253" s="83"/>
      <c r="AX253" s="83"/>
      <c r="AY253" s="83"/>
      <c r="AZ253" s="83"/>
      <c r="BA253" s="83"/>
      <c r="BB253" s="83"/>
    </row>
    <row r="254">
      <c r="A254" s="101"/>
      <c r="B254" s="298"/>
      <c r="C254" s="42"/>
      <c r="D254" s="42"/>
      <c r="E254" s="42"/>
      <c r="F254" s="299"/>
      <c r="G254" s="300"/>
      <c r="H254" s="42"/>
      <c r="I254" s="299"/>
      <c r="J254" s="301" t="str">
        <f t="array" ref="J254">IF(B254="","", INDEX(Ingredients!G:G, MATCH(B254, Ingredients!B:B,0)))</f>
        <v/>
      </c>
      <c r="K254" s="42"/>
      <c r="L254" s="299"/>
      <c r="M254" s="301" t="str">
        <f t="array" ref="M254">IF(B254="","", INDEX(Ingredients!H:H, MATCH(B254, Ingredients!B:B,0)))</f>
        <v/>
      </c>
      <c r="N254" s="42"/>
      <c r="O254" s="42"/>
      <c r="P254" s="299"/>
      <c r="Q254" s="302" t="str">
        <f t="shared" si="1"/>
        <v/>
      </c>
      <c r="R254" s="42"/>
      <c r="S254" s="42"/>
      <c r="T254" s="44"/>
      <c r="U254" s="114"/>
      <c r="V254" s="101"/>
      <c r="W254" s="298"/>
      <c r="X254" s="42"/>
      <c r="Y254" s="42"/>
      <c r="Z254" s="42"/>
      <c r="AA254" s="299"/>
      <c r="AB254" s="300"/>
      <c r="AC254" s="42"/>
      <c r="AD254" s="299"/>
      <c r="AE254" s="301" t="str">
        <f t="array" ref="AE254">IF(W254="","", INDEX(Other!G:G, MATCH(W254, Other!B:B,0)))</f>
        <v/>
      </c>
      <c r="AF254" s="42"/>
      <c r="AG254" s="299"/>
      <c r="AH254" s="301" t="str">
        <f t="array" ref="AH254">IF(W254="","", INDEX(Other!H:H, MATCH(W254, Other!B:B,0)))</f>
        <v/>
      </c>
      <c r="AI254" s="42"/>
      <c r="AJ254" s="42"/>
      <c r="AK254" s="299"/>
      <c r="AL254" s="301" t="str">
        <f t="shared" si="2"/>
        <v/>
      </c>
      <c r="AM254" s="42"/>
      <c r="AN254" s="42"/>
      <c r="AO254" s="44"/>
      <c r="AP254" s="114"/>
      <c r="AQ254" s="83"/>
      <c r="AR254" s="83"/>
      <c r="AS254" s="83"/>
      <c r="AT254" s="83"/>
      <c r="AU254" s="83"/>
      <c r="AV254" s="83"/>
      <c r="AW254" s="83"/>
      <c r="AX254" s="83"/>
      <c r="AY254" s="83"/>
      <c r="AZ254" s="83"/>
      <c r="BA254" s="83"/>
      <c r="BB254" s="83"/>
    </row>
    <row r="255">
      <c r="A255" s="101"/>
      <c r="B255" s="298"/>
      <c r="C255" s="42"/>
      <c r="D255" s="42"/>
      <c r="E255" s="42"/>
      <c r="F255" s="299"/>
      <c r="G255" s="300"/>
      <c r="H255" s="42"/>
      <c r="I255" s="299"/>
      <c r="J255" s="301" t="str">
        <f t="array" ref="J255">IF(B255="","", INDEX(Ingredients!G:G, MATCH(B255, Ingredients!B:B,0)))</f>
        <v/>
      </c>
      <c r="K255" s="42"/>
      <c r="L255" s="299"/>
      <c r="M255" s="301" t="str">
        <f t="array" ref="M255">IF(B255="","", INDEX(Ingredients!H:H, MATCH(B255, Ingredients!B:B,0)))</f>
        <v/>
      </c>
      <c r="N255" s="42"/>
      <c r="O255" s="42"/>
      <c r="P255" s="299"/>
      <c r="Q255" s="302" t="str">
        <f t="shared" si="1"/>
        <v/>
      </c>
      <c r="R255" s="42"/>
      <c r="S255" s="42"/>
      <c r="T255" s="44"/>
      <c r="U255" s="114"/>
      <c r="V255" s="101"/>
      <c r="W255" s="298"/>
      <c r="X255" s="42"/>
      <c r="Y255" s="42"/>
      <c r="Z255" s="42"/>
      <c r="AA255" s="299"/>
      <c r="AB255" s="300"/>
      <c r="AC255" s="42"/>
      <c r="AD255" s="299"/>
      <c r="AE255" s="301" t="str">
        <f t="array" ref="AE255">IF(W255="","", INDEX(Other!G:G, MATCH(W255, Other!B:B,0)))</f>
        <v/>
      </c>
      <c r="AF255" s="42"/>
      <c r="AG255" s="299"/>
      <c r="AH255" s="301" t="str">
        <f t="array" ref="AH255">IF(W255="","", INDEX(Other!H:H, MATCH(W255, Other!B:B,0)))</f>
        <v/>
      </c>
      <c r="AI255" s="42"/>
      <c r="AJ255" s="42"/>
      <c r="AK255" s="299"/>
      <c r="AL255" s="301" t="str">
        <f t="shared" si="2"/>
        <v/>
      </c>
      <c r="AM255" s="42"/>
      <c r="AN255" s="42"/>
      <c r="AO255" s="44"/>
      <c r="AP255" s="114"/>
      <c r="AQ255" s="83"/>
      <c r="AR255" s="83"/>
      <c r="AS255" s="83"/>
      <c r="AT255" s="83"/>
      <c r="AU255" s="83"/>
      <c r="AV255" s="83"/>
      <c r="AW255" s="83"/>
      <c r="AX255" s="83"/>
      <c r="AY255" s="83"/>
      <c r="AZ255" s="83"/>
      <c r="BA255" s="83"/>
      <c r="BB255" s="83"/>
    </row>
    <row r="256">
      <c r="A256" s="101"/>
      <c r="B256" s="298"/>
      <c r="C256" s="42"/>
      <c r="D256" s="42"/>
      <c r="E256" s="42"/>
      <c r="F256" s="299"/>
      <c r="G256" s="300"/>
      <c r="H256" s="42"/>
      <c r="I256" s="299"/>
      <c r="J256" s="301" t="str">
        <f t="array" ref="J256">IF(B256="","", INDEX(Ingredients!G:G, MATCH(B256, Ingredients!B:B,0)))</f>
        <v/>
      </c>
      <c r="K256" s="42"/>
      <c r="L256" s="299"/>
      <c r="M256" s="301" t="str">
        <f t="array" ref="M256">IF(B256="","", INDEX(Ingredients!H:H, MATCH(B256, Ingredients!B:B,0)))</f>
        <v/>
      </c>
      <c r="N256" s="42"/>
      <c r="O256" s="42"/>
      <c r="P256" s="299"/>
      <c r="Q256" s="302" t="str">
        <f t="shared" si="1"/>
        <v/>
      </c>
      <c r="R256" s="42"/>
      <c r="S256" s="42"/>
      <c r="T256" s="44"/>
      <c r="U256" s="114"/>
      <c r="V256" s="101"/>
      <c r="W256" s="298"/>
      <c r="X256" s="42"/>
      <c r="Y256" s="42"/>
      <c r="Z256" s="42"/>
      <c r="AA256" s="299"/>
      <c r="AB256" s="300"/>
      <c r="AC256" s="42"/>
      <c r="AD256" s="299"/>
      <c r="AE256" s="301" t="str">
        <f t="array" ref="AE256">IF(W256="","", INDEX(Other!G:G, MATCH(W256, Other!B:B,0)))</f>
        <v/>
      </c>
      <c r="AF256" s="42"/>
      <c r="AG256" s="299"/>
      <c r="AH256" s="301" t="str">
        <f t="array" ref="AH256">IF(W256="","", INDEX(Other!H:H, MATCH(W256, Other!B:B,0)))</f>
        <v/>
      </c>
      <c r="AI256" s="42"/>
      <c r="AJ256" s="42"/>
      <c r="AK256" s="299"/>
      <c r="AL256" s="301" t="str">
        <f t="shared" si="2"/>
        <v/>
      </c>
      <c r="AM256" s="42"/>
      <c r="AN256" s="42"/>
      <c r="AO256" s="44"/>
      <c r="AP256" s="114"/>
      <c r="AQ256" s="83"/>
      <c r="AR256" s="83"/>
      <c r="AS256" s="83"/>
      <c r="AT256" s="83"/>
      <c r="AU256" s="83"/>
      <c r="AV256" s="83"/>
      <c r="AW256" s="83"/>
      <c r="AX256" s="83"/>
      <c r="AY256" s="83"/>
      <c r="AZ256" s="83"/>
      <c r="BA256" s="83"/>
      <c r="BB256" s="83"/>
    </row>
    <row r="257">
      <c r="A257" s="101"/>
      <c r="B257" s="298"/>
      <c r="C257" s="42"/>
      <c r="D257" s="42"/>
      <c r="E257" s="42"/>
      <c r="F257" s="299"/>
      <c r="G257" s="300"/>
      <c r="H257" s="42"/>
      <c r="I257" s="299"/>
      <c r="J257" s="301" t="str">
        <f t="array" ref="J257">IF(B257="","", INDEX(Ingredients!G:G, MATCH(B257, Ingredients!B:B,0)))</f>
        <v/>
      </c>
      <c r="K257" s="42"/>
      <c r="L257" s="299"/>
      <c r="M257" s="301" t="str">
        <f t="array" ref="M257">IF(B257="","", INDEX(Ingredients!H:H, MATCH(B257, Ingredients!B:B,0)))</f>
        <v/>
      </c>
      <c r="N257" s="42"/>
      <c r="O257" s="42"/>
      <c r="P257" s="299"/>
      <c r="Q257" s="302" t="str">
        <f t="shared" si="1"/>
        <v/>
      </c>
      <c r="R257" s="42"/>
      <c r="S257" s="42"/>
      <c r="T257" s="44"/>
      <c r="U257" s="114"/>
      <c r="V257" s="101"/>
      <c r="W257" s="298"/>
      <c r="X257" s="42"/>
      <c r="Y257" s="42"/>
      <c r="Z257" s="42"/>
      <c r="AA257" s="299"/>
      <c r="AB257" s="300"/>
      <c r="AC257" s="42"/>
      <c r="AD257" s="299"/>
      <c r="AE257" s="301" t="str">
        <f t="array" ref="AE257">IF(W257="","", INDEX(Other!G:G, MATCH(W257, Other!B:B,0)))</f>
        <v/>
      </c>
      <c r="AF257" s="42"/>
      <c r="AG257" s="299"/>
      <c r="AH257" s="301" t="str">
        <f t="array" ref="AH257">IF(W257="","", INDEX(Other!H:H, MATCH(W257, Other!B:B,0)))</f>
        <v/>
      </c>
      <c r="AI257" s="42"/>
      <c r="AJ257" s="42"/>
      <c r="AK257" s="299"/>
      <c r="AL257" s="301" t="str">
        <f t="shared" si="2"/>
        <v/>
      </c>
      <c r="AM257" s="42"/>
      <c r="AN257" s="42"/>
      <c r="AO257" s="44"/>
      <c r="AP257" s="114"/>
      <c r="AQ257" s="83"/>
      <c r="AR257" s="83"/>
      <c r="AS257" s="83"/>
      <c r="AT257" s="83"/>
      <c r="AU257" s="83"/>
      <c r="AV257" s="83"/>
      <c r="AW257" s="83"/>
      <c r="AX257" s="83"/>
      <c r="AY257" s="83"/>
      <c r="AZ257" s="83"/>
      <c r="BA257" s="83"/>
      <c r="BB257" s="83"/>
    </row>
    <row r="258">
      <c r="A258" s="101"/>
      <c r="B258" s="298"/>
      <c r="C258" s="42"/>
      <c r="D258" s="42"/>
      <c r="E258" s="42"/>
      <c r="F258" s="299"/>
      <c r="G258" s="300"/>
      <c r="H258" s="42"/>
      <c r="I258" s="299"/>
      <c r="J258" s="301" t="str">
        <f t="array" ref="J258">IF(B258="","", INDEX(Ingredients!G:G, MATCH(B258, Ingredients!B:B,0)))</f>
        <v/>
      </c>
      <c r="K258" s="42"/>
      <c r="L258" s="299"/>
      <c r="M258" s="301" t="str">
        <f t="array" ref="M258">IF(B258="","", INDEX(Ingredients!H:H, MATCH(B258, Ingredients!B:B,0)))</f>
        <v/>
      </c>
      <c r="N258" s="42"/>
      <c r="O258" s="42"/>
      <c r="P258" s="299"/>
      <c r="Q258" s="302" t="str">
        <f t="shared" si="1"/>
        <v/>
      </c>
      <c r="R258" s="42"/>
      <c r="S258" s="42"/>
      <c r="T258" s="44"/>
      <c r="U258" s="114"/>
      <c r="V258" s="101"/>
      <c r="W258" s="298"/>
      <c r="X258" s="42"/>
      <c r="Y258" s="42"/>
      <c r="Z258" s="42"/>
      <c r="AA258" s="299"/>
      <c r="AB258" s="300"/>
      <c r="AC258" s="42"/>
      <c r="AD258" s="299"/>
      <c r="AE258" s="301" t="str">
        <f t="array" ref="AE258">IF(W258="","", INDEX(Other!G:G, MATCH(W258, Other!B:B,0)))</f>
        <v/>
      </c>
      <c r="AF258" s="42"/>
      <c r="AG258" s="299"/>
      <c r="AH258" s="301" t="str">
        <f t="array" ref="AH258">IF(W258="","", INDEX(Other!H:H, MATCH(W258, Other!B:B,0)))</f>
        <v/>
      </c>
      <c r="AI258" s="42"/>
      <c r="AJ258" s="42"/>
      <c r="AK258" s="299"/>
      <c r="AL258" s="301" t="str">
        <f t="shared" si="2"/>
        <v/>
      </c>
      <c r="AM258" s="42"/>
      <c r="AN258" s="42"/>
      <c r="AO258" s="44"/>
      <c r="AP258" s="114"/>
      <c r="AQ258" s="83"/>
      <c r="AR258" s="83"/>
      <c r="AS258" s="83"/>
      <c r="AT258" s="83"/>
      <c r="AU258" s="83"/>
      <c r="AV258" s="83"/>
      <c r="AW258" s="83"/>
      <c r="AX258" s="83"/>
      <c r="AY258" s="83"/>
      <c r="AZ258" s="83"/>
      <c r="BA258" s="83"/>
      <c r="BB258" s="83"/>
    </row>
    <row r="259">
      <c r="A259" s="101"/>
      <c r="B259" s="298"/>
      <c r="C259" s="42"/>
      <c r="D259" s="42"/>
      <c r="E259" s="42"/>
      <c r="F259" s="299"/>
      <c r="G259" s="300"/>
      <c r="H259" s="42"/>
      <c r="I259" s="299"/>
      <c r="J259" s="301" t="str">
        <f t="array" ref="J259">IF(B259="","", INDEX(Ingredients!G:G, MATCH(B259, Ingredients!B:B,0)))</f>
        <v/>
      </c>
      <c r="K259" s="42"/>
      <c r="L259" s="299"/>
      <c r="M259" s="301" t="str">
        <f t="array" ref="M259">IF(B259="","", INDEX(Ingredients!H:H, MATCH(B259, Ingredients!B:B,0)))</f>
        <v/>
      </c>
      <c r="N259" s="42"/>
      <c r="O259" s="42"/>
      <c r="P259" s="299"/>
      <c r="Q259" s="302" t="str">
        <f t="shared" si="1"/>
        <v/>
      </c>
      <c r="R259" s="42"/>
      <c r="S259" s="42"/>
      <c r="T259" s="44"/>
      <c r="U259" s="114"/>
      <c r="V259" s="101"/>
      <c r="W259" s="298"/>
      <c r="X259" s="42"/>
      <c r="Y259" s="42"/>
      <c r="Z259" s="42"/>
      <c r="AA259" s="299"/>
      <c r="AB259" s="300"/>
      <c r="AC259" s="42"/>
      <c r="AD259" s="299"/>
      <c r="AE259" s="301" t="str">
        <f t="array" ref="AE259">IF(W259="","", INDEX(Other!G:G, MATCH(W259, Other!B:B,0)))</f>
        <v/>
      </c>
      <c r="AF259" s="42"/>
      <c r="AG259" s="299"/>
      <c r="AH259" s="301" t="str">
        <f t="array" ref="AH259">IF(W259="","", INDEX(Other!H:H, MATCH(W259, Other!B:B,0)))</f>
        <v/>
      </c>
      <c r="AI259" s="42"/>
      <c r="AJ259" s="42"/>
      <c r="AK259" s="299"/>
      <c r="AL259" s="301" t="str">
        <f t="shared" si="2"/>
        <v/>
      </c>
      <c r="AM259" s="42"/>
      <c r="AN259" s="42"/>
      <c r="AO259" s="44"/>
      <c r="AP259" s="114"/>
      <c r="AQ259" s="83"/>
      <c r="AR259" s="83"/>
      <c r="AS259" s="83"/>
      <c r="AT259" s="83"/>
      <c r="AU259" s="83"/>
      <c r="AV259" s="83"/>
      <c r="AW259" s="83"/>
      <c r="AX259" s="83"/>
      <c r="AY259" s="83"/>
      <c r="AZ259" s="83"/>
      <c r="BA259" s="83"/>
      <c r="BB259" s="83"/>
    </row>
    <row r="260">
      <c r="A260" s="101"/>
      <c r="B260" s="298"/>
      <c r="C260" s="42"/>
      <c r="D260" s="42"/>
      <c r="E260" s="42"/>
      <c r="F260" s="299"/>
      <c r="G260" s="300"/>
      <c r="H260" s="42"/>
      <c r="I260" s="299"/>
      <c r="J260" s="301" t="str">
        <f t="array" ref="J260">IF(B260="","", INDEX(Ingredients!G:G, MATCH(B260, Ingredients!B:B,0)))</f>
        <v/>
      </c>
      <c r="K260" s="42"/>
      <c r="L260" s="299"/>
      <c r="M260" s="301" t="str">
        <f t="array" ref="M260">IF(B260="","", INDEX(Ingredients!H:H, MATCH(B260, Ingredients!B:B,0)))</f>
        <v/>
      </c>
      <c r="N260" s="42"/>
      <c r="O260" s="42"/>
      <c r="P260" s="299"/>
      <c r="Q260" s="302" t="str">
        <f t="shared" si="1"/>
        <v/>
      </c>
      <c r="R260" s="42"/>
      <c r="S260" s="42"/>
      <c r="T260" s="44"/>
      <c r="U260" s="114"/>
      <c r="V260" s="101"/>
      <c r="W260" s="298"/>
      <c r="X260" s="42"/>
      <c r="Y260" s="42"/>
      <c r="Z260" s="42"/>
      <c r="AA260" s="299"/>
      <c r="AB260" s="300"/>
      <c r="AC260" s="42"/>
      <c r="AD260" s="299"/>
      <c r="AE260" s="301" t="str">
        <f t="array" ref="AE260">IF(W260="","", INDEX(Other!G:G, MATCH(W260, Other!B:B,0)))</f>
        <v/>
      </c>
      <c r="AF260" s="42"/>
      <c r="AG260" s="299"/>
      <c r="AH260" s="301" t="str">
        <f t="array" ref="AH260">IF(W260="","", INDEX(Other!H:H, MATCH(W260, Other!B:B,0)))</f>
        <v/>
      </c>
      <c r="AI260" s="42"/>
      <c r="AJ260" s="42"/>
      <c r="AK260" s="299"/>
      <c r="AL260" s="301" t="str">
        <f t="shared" si="2"/>
        <v/>
      </c>
      <c r="AM260" s="42"/>
      <c r="AN260" s="42"/>
      <c r="AO260" s="44"/>
      <c r="AP260" s="114"/>
      <c r="AQ260" s="83"/>
      <c r="AR260" s="83"/>
      <c r="AS260" s="83"/>
      <c r="AT260" s="83"/>
      <c r="AU260" s="83"/>
      <c r="AV260" s="83"/>
      <c r="AW260" s="83"/>
      <c r="AX260" s="83"/>
      <c r="AY260" s="83"/>
      <c r="AZ260" s="83"/>
      <c r="BA260" s="83"/>
      <c r="BB260" s="83"/>
    </row>
    <row r="261">
      <c r="A261" s="101"/>
      <c r="B261" s="298"/>
      <c r="C261" s="42"/>
      <c r="D261" s="42"/>
      <c r="E261" s="42"/>
      <c r="F261" s="299"/>
      <c r="G261" s="300"/>
      <c r="H261" s="42"/>
      <c r="I261" s="299"/>
      <c r="J261" s="301" t="str">
        <f t="array" ref="J261">IF(B261="","", INDEX(Ingredients!G:G, MATCH(B261, Ingredients!B:B,0)))</f>
        <v/>
      </c>
      <c r="K261" s="42"/>
      <c r="L261" s="299"/>
      <c r="M261" s="301" t="str">
        <f t="array" ref="M261">IF(B261="","", INDEX(Ingredients!H:H, MATCH(B261, Ingredients!B:B,0)))</f>
        <v/>
      </c>
      <c r="N261" s="42"/>
      <c r="O261" s="42"/>
      <c r="P261" s="299"/>
      <c r="Q261" s="302" t="str">
        <f t="shared" si="1"/>
        <v/>
      </c>
      <c r="R261" s="42"/>
      <c r="S261" s="42"/>
      <c r="T261" s="44"/>
      <c r="U261" s="114"/>
      <c r="V261" s="101"/>
      <c r="W261" s="298"/>
      <c r="X261" s="42"/>
      <c r="Y261" s="42"/>
      <c r="Z261" s="42"/>
      <c r="AA261" s="299"/>
      <c r="AB261" s="300"/>
      <c r="AC261" s="42"/>
      <c r="AD261" s="299"/>
      <c r="AE261" s="301" t="str">
        <f t="array" ref="AE261">IF(W261="","", INDEX(Other!G:G, MATCH(W261, Other!B:B,0)))</f>
        <v/>
      </c>
      <c r="AF261" s="42"/>
      <c r="AG261" s="299"/>
      <c r="AH261" s="301" t="str">
        <f t="array" ref="AH261">IF(W261="","", INDEX(Other!H:H, MATCH(W261, Other!B:B,0)))</f>
        <v/>
      </c>
      <c r="AI261" s="42"/>
      <c r="AJ261" s="42"/>
      <c r="AK261" s="299"/>
      <c r="AL261" s="301" t="str">
        <f t="shared" si="2"/>
        <v/>
      </c>
      <c r="AM261" s="42"/>
      <c r="AN261" s="42"/>
      <c r="AO261" s="44"/>
      <c r="AP261" s="114"/>
      <c r="AQ261" s="83"/>
      <c r="AR261" s="83"/>
      <c r="AS261" s="83"/>
      <c r="AT261" s="83"/>
      <c r="AU261" s="83"/>
      <c r="AV261" s="83"/>
      <c r="AW261" s="83"/>
      <c r="AX261" s="83"/>
      <c r="AY261" s="83"/>
      <c r="AZ261" s="83"/>
      <c r="BA261" s="83"/>
      <c r="BB261" s="83"/>
    </row>
    <row r="262">
      <c r="A262" s="101"/>
      <c r="B262" s="298"/>
      <c r="C262" s="42"/>
      <c r="D262" s="42"/>
      <c r="E262" s="42"/>
      <c r="F262" s="299"/>
      <c r="G262" s="300"/>
      <c r="H262" s="42"/>
      <c r="I262" s="299"/>
      <c r="J262" s="301" t="str">
        <f t="array" ref="J262">IF(B262="","", INDEX(Ingredients!G:G, MATCH(B262, Ingredients!B:B,0)))</f>
        <v/>
      </c>
      <c r="K262" s="42"/>
      <c r="L262" s="299"/>
      <c r="M262" s="301" t="str">
        <f t="array" ref="M262">IF(B262="","", INDEX(Ingredients!H:H, MATCH(B262, Ingredients!B:B,0)))</f>
        <v/>
      </c>
      <c r="N262" s="42"/>
      <c r="O262" s="42"/>
      <c r="P262" s="299"/>
      <c r="Q262" s="302" t="str">
        <f t="shared" si="1"/>
        <v/>
      </c>
      <c r="R262" s="42"/>
      <c r="S262" s="42"/>
      <c r="T262" s="44"/>
      <c r="U262" s="114"/>
      <c r="V262" s="101"/>
      <c r="W262" s="298"/>
      <c r="X262" s="42"/>
      <c r="Y262" s="42"/>
      <c r="Z262" s="42"/>
      <c r="AA262" s="299"/>
      <c r="AB262" s="300"/>
      <c r="AC262" s="42"/>
      <c r="AD262" s="299"/>
      <c r="AE262" s="301" t="str">
        <f t="array" ref="AE262">IF(W262="","", INDEX(Other!G:G, MATCH(W262, Other!B:B,0)))</f>
        <v/>
      </c>
      <c r="AF262" s="42"/>
      <c r="AG262" s="299"/>
      <c r="AH262" s="301" t="str">
        <f t="array" ref="AH262">IF(W262="","", INDEX(Other!H:H, MATCH(W262, Other!B:B,0)))</f>
        <v/>
      </c>
      <c r="AI262" s="42"/>
      <c r="AJ262" s="42"/>
      <c r="AK262" s="299"/>
      <c r="AL262" s="301" t="str">
        <f t="shared" si="2"/>
        <v/>
      </c>
      <c r="AM262" s="42"/>
      <c r="AN262" s="42"/>
      <c r="AO262" s="44"/>
      <c r="AP262" s="114"/>
      <c r="AQ262" s="83"/>
      <c r="AR262" s="83"/>
      <c r="AS262" s="83"/>
      <c r="AT262" s="83"/>
      <c r="AU262" s="83"/>
      <c r="AV262" s="83"/>
      <c r="AW262" s="83"/>
      <c r="AX262" s="83"/>
      <c r="AY262" s="83"/>
      <c r="AZ262" s="83"/>
      <c r="BA262" s="83"/>
      <c r="BB262" s="83"/>
    </row>
    <row r="263">
      <c r="A263" s="101"/>
      <c r="B263" s="298"/>
      <c r="C263" s="42"/>
      <c r="D263" s="42"/>
      <c r="E263" s="42"/>
      <c r="F263" s="299"/>
      <c r="G263" s="300"/>
      <c r="H263" s="42"/>
      <c r="I263" s="299"/>
      <c r="J263" s="301" t="str">
        <f t="array" ref="J263">IF(B263="","", INDEX(Ingredients!G:G, MATCH(B263, Ingredients!B:B,0)))</f>
        <v/>
      </c>
      <c r="K263" s="42"/>
      <c r="L263" s="299"/>
      <c r="M263" s="301" t="str">
        <f t="array" ref="M263">IF(B263="","", INDEX(Ingredients!H:H, MATCH(B263, Ingredients!B:B,0)))</f>
        <v/>
      </c>
      <c r="N263" s="42"/>
      <c r="O263" s="42"/>
      <c r="P263" s="299"/>
      <c r="Q263" s="302" t="str">
        <f t="shared" si="1"/>
        <v/>
      </c>
      <c r="R263" s="42"/>
      <c r="S263" s="42"/>
      <c r="T263" s="44"/>
      <c r="U263" s="114"/>
      <c r="V263" s="101"/>
      <c r="W263" s="298"/>
      <c r="X263" s="42"/>
      <c r="Y263" s="42"/>
      <c r="Z263" s="42"/>
      <c r="AA263" s="299"/>
      <c r="AB263" s="300"/>
      <c r="AC263" s="42"/>
      <c r="AD263" s="299"/>
      <c r="AE263" s="301" t="str">
        <f t="array" ref="AE263">IF(W263="","", INDEX(Other!G:G, MATCH(W263, Other!B:B,0)))</f>
        <v/>
      </c>
      <c r="AF263" s="42"/>
      <c r="AG263" s="299"/>
      <c r="AH263" s="301" t="str">
        <f t="array" ref="AH263">IF(W263="","", INDEX(Other!H:H, MATCH(W263, Other!B:B,0)))</f>
        <v/>
      </c>
      <c r="AI263" s="42"/>
      <c r="AJ263" s="42"/>
      <c r="AK263" s="299"/>
      <c r="AL263" s="301" t="str">
        <f t="shared" si="2"/>
        <v/>
      </c>
      <c r="AM263" s="42"/>
      <c r="AN263" s="42"/>
      <c r="AO263" s="44"/>
      <c r="AP263" s="114"/>
      <c r="AQ263" s="83"/>
      <c r="AR263" s="83"/>
      <c r="AS263" s="83"/>
      <c r="AT263" s="83"/>
      <c r="AU263" s="83"/>
      <c r="AV263" s="83"/>
      <c r="AW263" s="83"/>
      <c r="AX263" s="83"/>
      <c r="AY263" s="83"/>
      <c r="AZ263" s="83"/>
      <c r="BA263" s="83"/>
      <c r="BB263" s="83"/>
    </row>
    <row r="264">
      <c r="A264" s="101"/>
      <c r="B264" s="298"/>
      <c r="C264" s="42"/>
      <c r="D264" s="42"/>
      <c r="E264" s="42"/>
      <c r="F264" s="299"/>
      <c r="G264" s="300"/>
      <c r="H264" s="42"/>
      <c r="I264" s="299"/>
      <c r="J264" s="301" t="str">
        <f t="array" ref="J264">IF(B264="","", INDEX(Ingredients!G:G, MATCH(B264, Ingredients!B:B,0)))</f>
        <v/>
      </c>
      <c r="K264" s="42"/>
      <c r="L264" s="299"/>
      <c r="M264" s="301" t="str">
        <f t="array" ref="M264">IF(B264="","", INDEX(Ingredients!H:H, MATCH(B264, Ingredients!B:B,0)))</f>
        <v/>
      </c>
      <c r="N264" s="42"/>
      <c r="O264" s="42"/>
      <c r="P264" s="299"/>
      <c r="Q264" s="302" t="str">
        <f t="shared" si="1"/>
        <v/>
      </c>
      <c r="R264" s="42"/>
      <c r="S264" s="42"/>
      <c r="T264" s="44"/>
      <c r="U264" s="114"/>
      <c r="V264" s="101"/>
      <c r="W264" s="298"/>
      <c r="X264" s="42"/>
      <c r="Y264" s="42"/>
      <c r="Z264" s="42"/>
      <c r="AA264" s="299"/>
      <c r="AB264" s="300"/>
      <c r="AC264" s="42"/>
      <c r="AD264" s="299"/>
      <c r="AE264" s="301" t="str">
        <f t="array" ref="AE264">IF(W264="","", INDEX(Other!G:G, MATCH(W264, Other!B:B,0)))</f>
        <v/>
      </c>
      <c r="AF264" s="42"/>
      <c r="AG264" s="299"/>
      <c r="AH264" s="301" t="str">
        <f t="array" ref="AH264">IF(W264="","", INDEX(Other!H:H, MATCH(W264, Other!B:B,0)))</f>
        <v/>
      </c>
      <c r="AI264" s="42"/>
      <c r="AJ264" s="42"/>
      <c r="AK264" s="299"/>
      <c r="AL264" s="301" t="str">
        <f t="shared" si="2"/>
        <v/>
      </c>
      <c r="AM264" s="42"/>
      <c r="AN264" s="42"/>
      <c r="AO264" s="44"/>
      <c r="AP264" s="114"/>
      <c r="AQ264" s="83"/>
      <c r="AR264" s="83"/>
      <c r="AS264" s="83"/>
      <c r="AT264" s="83"/>
      <c r="AU264" s="83"/>
      <c r="AV264" s="83"/>
      <c r="AW264" s="83"/>
      <c r="AX264" s="83"/>
      <c r="AY264" s="83"/>
      <c r="AZ264" s="83"/>
      <c r="BA264" s="83"/>
      <c r="BB264" s="83"/>
    </row>
    <row r="265">
      <c r="A265" s="101"/>
      <c r="B265" s="298"/>
      <c r="C265" s="42"/>
      <c r="D265" s="42"/>
      <c r="E265" s="42"/>
      <c r="F265" s="299"/>
      <c r="G265" s="300"/>
      <c r="H265" s="42"/>
      <c r="I265" s="299"/>
      <c r="J265" s="301" t="str">
        <f t="array" ref="J265">IF(B265="","", INDEX(Ingredients!G:G, MATCH(B265, Ingredients!B:B,0)))</f>
        <v/>
      </c>
      <c r="K265" s="42"/>
      <c r="L265" s="299"/>
      <c r="M265" s="301" t="str">
        <f t="array" ref="M265">IF(B265="","", INDEX(Ingredients!H:H, MATCH(B265, Ingredients!B:B,0)))</f>
        <v/>
      </c>
      <c r="N265" s="42"/>
      <c r="O265" s="42"/>
      <c r="P265" s="299"/>
      <c r="Q265" s="302" t="str">
        <f t="shared" si="1"/>
        <v/>
      </c>
      <c r="R265" s="42"/>
      <c r="S265" s="42"/>
      <c r="T265" s="44"/>
      <c r="U265" s="114"/>
      <c r="V265" s="101"/>
      <c r="W265" s="298"/>
      <c r="X265" s="42"/>
      <c r="Y265" s="42"/>
      <c r="Z265" s="42"/>
      <c r="AA265" s="299"/>
      <c r="AB265" s="300"/>
      <c r="AC265" s="42"/>
      <c r="AD265" s="299"/>
      <c r="AE265" s="301" t="str">
        <f t="array" ref="AE265">IF(W265="","", INDEX(Other!G:G, MATCH(W265, Other!B:B,0)))</f>
        <v/>
      </c>
      <c r="AF265" s="42"/>
      <c r="AG265" s="299"/>
      <c r="AH265" s="301" t="str">
        <f t="array" ref="AH265">IF(W265="","", INDEX(Other!H:H, MATCH(W265, Other!B:B,0)))</f>
        <v/>
      </c>
      <c r="AI265" s="42"/>
      <c r="AJ265" s="42"/>
      <c r="AK265" s="299"/>
      <c r="AL265" s="301" t="str">
        <f t="shared" si="2"/>
        <v/>
      </c>
      <c r="AM265" s="42"/>
      <c r="AN265" s="42"/>
      <c r="AO265" s="44"/>
      <c r="AP265" s="114"/>
      <c r="AQ265" s="83"/>
      <c r="AR265" s="83"/>
      <c r="AS265" s="83"/>
      <c r="AT265" s="83"/>
      <c r="AU265" s="83"/>
      <c r="AV265" s="83"/>
      <c r="AW265" s="83"/>
      <c r="AX265" s="83"/>
      <c r="AY265" s="83"/>
      <c r="AZ265" s="83"/>
      <c r="BA265" s="83"/>
      <c r="BB265" s="83"/>
    </row>
    <row r="266">
      <c r="A266" s="101"/>
      <c r="B266" s="298"/>
      <c r="C266" s="42"/>
      <c r="D266" s="42"/>
      <c r="E266" s="42"/>
      <c r="F266" s="299"/>
      <c r="G266" s="300"/>
      <c r="H266" s="42"/>
      <c r="I266" s="299"/>
      <c r="J266" s="301" t="str">
        <f t="array" ref="J266">IF(B266="","", INDEX(Ingredients!G:G, MATCH(B266, Ingredients!B:B,0)))</f>
        <v/>
      </c>
      <c r="K266" s="42"/>
      <c r="L266" s="299"/>
      <c r="M266" s="301" t="str">
        <f t="array" ref="M266">IF(B266="","", INDEX(Ingredients!H:H, MATCH(B266, Ingredients!B:B,0)))</f>
        <v/>
      </c>
      <c r="N266" s="42"/>
      <c r="O266" s="42"/>
      <c r="P266" s="299"/>
      <c r="Q266" s="302" t="str">
        <f t="shared" si="1"/>
        <v/>
      </c>
      <c r="R266" s="42"/>
      <c r="S266" s="42"/>
      <c r="T266" s="44"/>
      <c r="U266" s="114"/>
      <c r="V266" s="101"/>
      <c r="W266" s="298"/>
      <c r="X266" s="42"/>
      <c r="Y266" s="42"/>
      <c r="Z266" s="42"/>
      <c r="AA266" s="299"/>
      <c r="AB266" s="300"/>
      <c r="AC266" s="42"/>
      <c r="AD266" s="299"/>
      <c r="AE266" s="301" t="str">
        <f t="array" ref="AE266">IF(W266="","", INDEX(Other!G:G, MATCH(W266, Other!B:B,0)))</f>
        <v/>
      </c>
      <c r="AF266" s="42"/>
      <c r="AG266" s="299"/>
      <c r="AH266" s="301" t="str">
        <f t="array" ref="AH266">IF(W266="","", INDEX(Other!H:H, MATCH(W266, Other!B:B,0)))</f>
        <v/>
      </c>
      <c r="AI266" s="42"/>
      <c r="AJ266" s="42"/>
      <c r="AK266" s="299"/>
      <c r="AL266" s="301" t="str">
        <f t="shared" si="2"/>
        <v/>
      </c>
      <c r="AM266" s="42"/>
      <c r="AN266" s="42"/>
      <c r="AO266" s="44"/>
      <c r="AP266" s="114"/>
      <c r="AQ266" s="83"/>
      <c r="AR266" s="83"/>
      <c r="AS266" s="83"/>
      <c r="AT266" s="83"/>
      <c r="AU266" s="83"/>
      <c r="AV266" s="83"/>
      <c r="AW266" s="83"/>
      <c r="AX266" s="83"/>
      <c r="AY266" s="83"/>
      <c r="AZ266" s="83"/>
      <c r="BA266" s="83"/>
      <c r="BB266" s="83"/>
    </row>
    <row r="267">
      <c r="A267" s="101"/>
      <c r="B267" s="298"/>
      <c r="C267" s="42"/>
      <c r="D267" s="42"/>
      <c r="E267" s="42"/>
      <c r="F267" s="299"/>
      <c r="G267" s="300"/>
      <c r="H267" s="42"/>
      <c r="I267" s="299"/>
      <c r="J267" s="301" t="str">
        <f t="array" ref="J267">IF(B267="","", INDEX(Ingredients!G:G, MATCH(B267, Ingredients!B:B,0)))</f>
        <v/>
      </c>
      <c r="K267" s="42"/>
      <c r="L267" s="299"/>
      <c r="M267" s="301" t="str">
        <f t="array" ref="M267">IF(B267="","", INDEX(Ingredients!H:H, MATCH(B267, Ingredients!B:B,0)))</f>
        <v/>
      </c>
      <c r="N267" s="42"/>
      <c r="O267" s="42"/>
      <c r="P267" s="299"/>
      <c r="Q267" s="302" t="str">
        <f t="shared" si="1"/>
        <v/>
      </c>
      <c r="R267" s="42"/>
      <c r="S267" s="42"/>
      <c r="T267" s="44"/>
      <c r="U267" s="114"/>
      <c r="V267" s="101"/>
      <c r="W267" s="298"/>
      <c r="X267" s="42"/>
      <c r="Y267" s="42"/>
      <c r="Z267" s="42"/>
      <c r="AA267" s="299"/>
      <c r="AB267" s="300"/>
      <c r="AC267" s="42"/>
      <c r="AD267" s="299"/>
      <c r="AE267" s="301" t="str">
        <f t="array" ref="AE267">IF(W267="","", INDEX(Other!G:G, MATCH(W267, Other!B:B,0)))</f>
        <v/>
      </c>
      <c r="AF267" s="42"/>
      <c r="AG267" s="299"/>
      <c r="AH267" s="301" t="str">
        <f t="array" ref="AH267">IF(W267="","", INDEX(Other!H:H, MATCH(W267, Other!B:B,0)))</f>
        <v/>
      </c>
      <c r="AI267" s="42"/>
      <c r="AJ267" s="42"/>
      <c r="AK267" s="299"/>
      <c r="AL267" s="301" t="str">
        <f t="shared" si="2"/>
        <v/>
      </c>
      <c r="AM267" s="42"/>
      <c r="AN267" s="42"/>
      <c r="AO267" s="44"/>
      <c r="AP267" s="114"/>
      <c r="AQ267" s="83"/>
      <c r="AR267" s="83"/>
      <c r="AS267" s="83"/>
      <c r="AT267" s="83"/>
      <c r="AU267" s="83"/>
      <c r="AV267" s="83"/>
      <c r="AW267" s="83"/>
      <c r="AX267" s="83"/>
      <c r="AY267" s="83"/>
      <c r="AZ267" s="83"/>
      <c r="BA267" s="83"/>
      <c r="BB267" s="83"/>
    </row>
    <row r="268">
      <c r="A268" s="101"/>
      <c r="B268" s="298"/>
      <c r="C268" s="42"/>
      <c r="D268" s="42"/>
      <c r="E268" s="42"/>
      <c r="F268" s="299"/>
      <c r="G268" s="300"/>
      <c r="H268" s="42"/>
      <c r="I268" s="299"/>
      <c r="J268" s="301" t="str">
        <f t="array" ref="J268">IF(B268="","", INDEX(Ingredients!G:G, MATCH(B268, Ingredients!B:B,0)))</f>
        <v/>
      </c>
      <c r="K268" s="42"/>
      <c r="L268" s="299"/>
      <c r="M268" s="301" t="str">
        <f t="array" ref="M268">IF(B268="","", INDEX(Ingredients!H:H, MATCH(B268, Ingredients!B:B,0)))</f>
        <v/>
      </c>
      <c r="N268" s="42"/>
      <c r="O268" s="42"/>
      <c r="P268" s="299"/>
      <c r="Q268" s="302" t="str">
        <f t="shared" si="1"/>
        <v/>
      </c>
      <c r="R268" s="42"/>
      <c r="S268" s="42"/>
      <c r="T268" s="44"/>
      <c r="U268" s="114"/>
      <c r="V268" s="101"/>
      <c r="W268" s="298"/>
      <c r="X268" s="42"/>
      <c r="Y268" s="42"/>
      <c r="Z268" s="42"/>
      <c r="AA268" s="299"/>
      <c r="AB268" s="300"/>
      <c r="AC268" s="42"/>
      <c r="AD268" s="299"/>
      <c r="AE268" s="301" t="str">
        <f t="array" ref="AE268">IF(W268="","", INDEX(Other!G:G, MATCH(W268, Other!B:B,0)))</f>
        <v/>
      </c>
      <c r="AF268" s="42"/>
      <c r="AG268" s="299"/>
      <c r="AH268" s="301" t="str">
        <f t="array" ref="AH268">IF(W268="","", INDEX(Other!H:H, MATCH(W268, Other!B:B,0)))</f>
        <v/>
      </c>
      <c r="AI268" s="42"/>
      <c r="AJ268" s="42"/>
      <c r="AK268" s="299"/>
      <c r="AL268" s="301" t="str">
        <f t="shared" si="2"/>
        <v/>
      </c>
      <c r="AM268" s="42"/>
      <c r="AN268" s="42"/>
      <c r="AO268" s="44"/>
      <c r="AP268" s="114"/>
      <c r="AQ268" s="83"/>
      <c r="AR268" s="83"/>
      <c r="AS268" s="83"/>
      <c r="AT268" s="83"/>
      <c r="AU268" s="83"/>
      <c r="AV268" s="83"/>
      <c r="AW268" s="83"/>
      <c r="AX268" s="83"/>
      <c r="AY268" s="83"/>
      <c r="AZ268" s="83"/>
      <c r="BA268" s="83"/>
      <c r="BB268" s="83"/>
    </row>
    <row r="269">
      <c r="A269" s="101"/>
      <c r="B269" s="298"/>
      <c r="C269" s="42"/>
      <c r="D269" s="42"/>
      <c r="E269" s="42"/>
      <c r="F269" s="299"/>
      <c r="G269" s="300"/>
      <c r="H269" s="42"/>
      <c r="I269" s="299"/>
      <c r="J269" s="301" t="str">
        <f t="array" ref="J269">IF(B269="","", INDEX(Ingredients!G:G, MATCH(B269, Ingredients!B:B,0)))</f>
        <v/>
      </c>
      <c r="K269" s="42"/>
      <c r="L269" s="299"/>
      <c r="M269" s="301" t="str">
        <f t="array" ref="M269">IF(B269="","", INDEX(Ingredients!H:H, MATCH(B269, Ingredients!B:B,0)))</f>
        <v/>
      </c>
      <c r="N269" s="42"/>
      <c r="O269" s="42"/>
      <c r="P269" s="299"/>
      <c r="Q269" s="302" t="str">
        <f t="shared" si="1"/>
        <v/>
      </c>
      <c r="R269" s="42"/>
      <c r="S269" s="42"/>
      <c r="T269" s="44"/>
      <c r="U269" s="114"/>
      <c r="V269" s="101"/>
      <c r="W269" s="298"/>
      <c r="X269" s="42"/>
      <c r="Y269" s="42"/>
      <c r="Z269" s="42"/>
      <c r="AA269" s="299"/>
      <c r="AB269" s="300"/>
      <c r="AC269" s="42"/>
      <c r="AD269" s="299"/>
      <c r="AE269" s="301" t="str">
        <f t="array" ref="AE269">IF(W269="","", INDEX(Other!G:G, MATCH(W269, Other!B:B,0)))</f>
        <v/>
      </c>
      <c r="AF269" s="42"/>
      <c r="AG269" s="299"/>
      <c r="AH269" s="301" t="str">
        <f t="array" ref="AH269">IF(W269="","", INDEX(Other!H:H, MATCH(W269, Other!B:B,0)))</f>
        <v/>
      </c>
      <c r="AI269" s="42"/>
      <c r="AJ269" s="42"/>
      <c r="AK269" s="299"/>
      <c r="AL269" s="301" t="str">
        <f t="shared" si="2"/>
        <v/>
      </c>
      <c r="AM269" s="42"/>
      <c r="AN269" s="42"/>
      <c r="AO269" s="44"/>
      <c r="AP269" s="114"/>
      <c r="AQ269" s="83"/>
      <c r="AR269" s="83"/>
      <c r="AS269" s="83"/>
      <c r="AT269" s="83"/>
      <c r="AU269" s="83"/>
      <c r="AV269" s="83"/>
      <c r="AW269" s="83"/>
      <c r="AX269" s="83"/>
      <c r="AY269" s="83"/>
      <c r="AZ269" s="83"/>
      <c r="BA269" s="83"/>
      <c r="BB269" s="83"/>
    </row>
    <row r="270">
      <c r="A270" s="101"/>
      <c r="B270" s="298"/>
      <c r="C270" s="42"/>
      <c r="D270" s="42"/>
      <c r="E270" s="42"/>
      <c r="F270" s="299"/>
      <c r="G270" s="300"/>
      <c r="H270" s="42"/>
      <c r="I270" s="299"/>
      <c r="J270" s="301" t="str">
        <f t="array" ref="J270">IF(B270="","", INDEX(Ingredients!G:G, MATCH(B270, Ingredients!B:B,0)))</f>
        <v/>
      </c>
      <c r="K270" s="42"/>
      <c r="L270" s="299"/>
      <c r="M270" s="301" t="str">
        <f t="array" ref="M270">IF(B270="","", INDEX(Ingredients!H:H, MATCH(B270, Ingredients!B:B,0)))</f>
        <v/>
      </c>
      <c r="N270" s="42"/>
      <c r="O270" s="42"/>
      <c r="P270" s="299"/>
      <c r="Q270" s="302" t="str">
        <f t="shared" si="1"/>
        <v/>
      </c>
      <c r="R270" s="42"/>
      <c r="S270" s="42"/>
      <c r="T270" s="44"/>
      <c r="U270" s="114"/>
      <c r="V270" s="101"/>
      <c r="W270" s="298"/>
      <c r="X270" s="42"/>
      <c r="Y270" s="42"/>
      <c r="Z270" s="42"/>
      <c r="AA270" s="299"/>
      <c r="AB270" s="300"/>
      <c r="AC270" s="42"/>
      <c r="AD270" s="299"/>
      <c r="AE270" s="301" t="str">
        <f t="array" ref="AE270">IF(W270="","", INDEX(Other!G:G, MATCH(W270, Other!B:B,0)))</f>
        <v/>
      </c>
      <c r="AF270" s="42"/>
      <c r="AG270" s="299"/>
      <c r="AH270" s="301" t="str">
        <f t="array" ref="AH270">IF(W270="","", INDEX(Other!H:H, MATCH(W270, Other!B:B,0)))</f>
        <v/>
      </c>
      <c r="AI270" s="42"/>
      <c r="AJ270" s="42"/>
      <c r="AK270" s="299"/>
      <c r="AL270" s="301" t="str">
        <f t="shared" si="2"/>
        <v/>
      </c>
      <c r="AM270" s="42"/>
      <c r="AN270" s="42"/>
      <c r="AO270" s="44"/>
      <c r="AP270" s="114"/>
      <c r="AQ270" s="83"/>
      <c r="AR270" s="83"/>
      <c r="AS270" s="83"/>
      <c r="AT270" s="83"/>
      <c r="AU270" s="83"/>
      <c r="AV270" s="83"/>
      <c r="AW270" s="83"/>
      <c r="AX270" s="83"/>
      <c r="AY270" s="83"/>
      <c r="AZ270" s="83"/>
      <c r="BA270" s="83"/>
      <c r="BB270" s="83"/>
    </row>
    <row r="271">
      <c r="A271" s="101"/>
      <c r="B271" s="298"/>
      <c r="C271" s="42"/>
      <c r="D271" s="42"/>
      <c r="E271" s="42"/>
      <c r="F271" s="299"/>
      <c r="G271" s="300"/>
      <c r="H271" s="42"/>
      <c r="I271" s="299"/>
      <c r="J271" s="301" t="str">
        <f t="array" ref="J271">IF(B271="","", INDEX(Ingredients!G:G, MATCH(B271, Ingredients!B:B,0)))</f>
        <v/>
      </c>
      <c r="K271" s="42"/>
      <c r="L271" s="299"/>
      <c r="M271" s="301" t="str">
        <f t="array" ref="M271">IF(B271="","", INDEX(Ingredients!H:H, MATCH(B271, Ingredients!B:B,0)))</f>
        <v/>
      </c>
      <c r="N271" s="42"/>
      <c r="O271" s="42"/>
      <c r="P271" s="299"/>
      <c r="Q271" s="302" t="str">
        <f t="shared" si="1"/>
        <v/>
      </c>
      <c r="R271" s="42"/>
      <c r="S271" s="42"/>
      <c r="T271" s="44"/>
      <c r="U271" s="114"/>
      <c r="V271" s="101"/>
      <c r="W271" s="298"/>
      <c r="X271" s="42"/>
      <c r="Y271" s="42"/>
      <c r="Z271" s="42"/>
      <c r="AA271" s="299"/>
      <c r="AB271" s="300"/>
      <c r="AC271" s="42"/>
      <c r="AD271" s="299"/>
      <c r="AE271" s="301" t="str">
        <f t="array" ref="AE271">IF(W271="","", INDEX(Other!G:G, MATCH(W271, Other!B:B,0)))</f>
        <v/>
      </c>
      <c r="AF271" s="42"/>
      <c r="AG271" s="299"/>
      <c r="AH271" s="301" t="str">
        <f t="array" ref="AH271">IF(W271="","", INDEX(Other!H:H, MATCH(W271, Other!B:B,0)))</f>
        <v/>
      </c>
      <c r="AI271" s="42"/>
      <c r="AJ271" s="42"/>
      <c r="AK271" s="299"/>
      <c r="AL271" s="301" t="str">
        <f t="shared" si="2"/>
        <v/>
      </c>
      <c r="AM271" s="42"/>
      <c r="AN271" s="42"/>
      <c r="AO271" s="44"/>
      <c r="AP271" s="114"/>
      <c r="AQ271" s="83"/>
      <c r="AR271" s="83"/>
      <c r="AS271" s="83"/>
      <c r="AT271" s="83"/>
      <c r="AU271" s="83"/>
      <c r="AV271" s="83"/>
      <c r="AW271" s="83"/>
      <c r="AX271" s="83"/>
      <c r="AY271" s="83"/>
      <c r="AZ271" s="83"/>
      <c r="BA271" s="83"/>
      <c r="BB271" s="83"/>
    </row>
    <row r="272">
      <c r="A272" s="101"/>
      <c r="B272" s="298"/>
      <c r="C272" s="42"/>
      <c r="D272" s="42"/>
      <c r="E272" s="42"/>
      <c r="F272" s="299"/>
      <c r="G272" s="300"/>
      <c r="H272" s="42"/>
      <c r="I272" s="299"/>
      <c r="J272" s="301" t="str">
        <f t="array" ref="J272">IF(B272="","", INDEX(Ingredients!G:G, MATCH(B272, Ingredients!B:B,0)))</f>
        <v/>
      </c>
      <c r="K272" s="42"/>
      <c r="L272" s="299"/>
      <c r="M272" s="301" t="str">
        <f t="array" ref="M272">IF(B272="","", INDEX(Ingredients!H:H, MATCH(B272, Ingredients!B:B,0)))</f>
        <v/>
      </c>
      <c r="N272" s="42"/>
      <c r="O272" s="42"/>
      <c r="P272" s="299"/>
      <c r="Q272" s="302" t="str">
        <f t="shared" si="1"/>
        <v/>
      </c>
      <c r="R272" s="42"/>
      <c r="S272" s="42"/>
      <c r="T272" s="44"/>
      <c r="U272" s="114"/>
      <c r="V272" s="101"/>
      <c r="W272" s="298"/>
      <c r="X272" s="42"/>
      <c r="Y272" s="42"/>
      <c r="Z272" s="42"/>
      <c r="AA272" s="299"/>
      <c r="AB272" s="300"/>
      <c r="AC272" s="42"/>
      <c r="AD272" s="299"/>
      <c r="AE272" s="301" t="str">
        <f t="array" ref="AE272">IF(W272="","", INDEX(Other!G:G, MATCH(W272, Other!B:B,0)))</f>
        <v/>
      </c>
      <c r="AF272" s="42"/>
      <c r="AG272" s="299"/>
      <c r="AH272" s="301" t="str">
        <f t="array" ref="AH272">IF(W272="","", INDEX(Other!H:H, MATCH(W272, Other!B:B,0)))</f>
        <v/>
      </c>
      <c r="AI272" s="42"/>
      <c r="AJ272" s="42"/>
      <c r="AK272" s="299"/>
      <c r="AL272" s="301" t="str">
        <f t="shared" si="2"/>
        <v/>
      </c>
      <c r="AM272" s="42"/>
      <c r="AN272" s="42"/>
      <c r="AO272" s="44"/>
      <c r="AP272" s="114"/>
      <c r="AQ272" s="83"/>
      <c r="AR272" s="83"/>
      <c r="AS272" s="83"/>
      <c r="AT272" s="83"/>
      <c r="AU272" s="83"/>
      <c r="AV272" s="83"/>
      <c r="AW272" s="83"/>
      <c r="AX272" s="83"/>
      <c r="AY272" s="83"/>
      <c r="AZ272" s="83"/>
      <c r="BA272" s="83"/>
      <c r="BB272" s="83"/>
    </row>
    <row r="273">
      <c r="A273" s="101"/>
      <c r="B273" s="298"/>
      <c r="C273" s="42"/>
      <c r="D273" s="42"/>
      <c r="E273" s="42"/>
      <c r="F273" s="299"/>
      <c r="G273" s="300"/>
      <c r="H273" s="42"/>
      <c r="I273" s="299"/>
      <c r="J273" s="301" t="str">
        <f t="array" ref="J273">IF(B273="","", INDEX(Ingredients!G:G, MATCH(B273, Ingredients!B:B,0)))</f>
        <v/>
      </c>
      <c r="K273" s="42"/>
      <c r="L273" s="299"/>
      <c r="M273" s="301" t="str">
        <f t="array" ref="M273">IF(B273="","", INDEX(Ingredients!H:H, MATCH(B273, Ingredients!B:B,0)))</f>
        <v/>
      </c>
      <c r="N273" s="42"/>
      <c r="O273" s="42"/>
      <c r="P273" s="299"/>
      <c r="Q273" s="302" t="str">
        <f t="shared" si="1"/>
        <v/>
      </c>
      <c r="R273" s="42"/>
      <c r="S273" s="42"/>
      <c r="T273" s="44"/>
      <c r="U273" s="114"/>
      <c r="V273" s="101"/>
      <c r="W273" s="298"/>
      <c r="X273" s="42"/>
      <c r="Y273" s="42"/>
      <c r="Z273" s="42"/>
      <c r="AA273" s="299"/>
      <c r="AB273" s="300"/>
      <c r="AC273" s="42"/>
      <c r="AD273" s="299"/>
      <c r="AE273" s="301" t="str">
        <f t="array" ref="AE273">IF(W273="","", INDEX(Other!G:G, MATCH(W273, Other!B:B,0)))</f>
        <v/>
      </c>
      <c r="AF273" s="42"/>
      <c r="AG273" s="299"/>
      <c r="AH273" s="301" t="str">
        <f t="array" ref="AH273">IF(W273="","", INDEX(Other!H:H, MATCH(W273, Other!B:B,0)))</f>
        <v/>
      </c>
      <c r="AI273" s="42"/>
      <c r="AJ273" s="42"/>
      <c r="AK273" s="299"/>
      <c r="AL273" s="301" t="str">
        <f t="shared" si="2"/>
        <v/>
      </c>
      <c r="AM273" s="42"/>
      <c r="AN273" s="42"/>
      <c r="AO273" s="44"/>
      <c r="AP273" s="114"/>
      <c r="AQ273" s="83"/>
      <c r="AR273" s="83"/>
      <c r="AS273" s="83"/>
      <c r="AT273" s="83"/>
      <c r="AU273" s="83"/>
      <c r="AV273" s="83"/>
      <c r="AW273" s="83"/>
      <c r="AX273" s="83"/>
      <c r="AY273" s="83"/>
      <c r="AZ273" s="83"/>
      <c r="BA273" s="83"/>
      <c r="BB273" s="83"/>
    </row>
    <row r="274">
      <c r="A274" s="101"/>
      <c r="B274" s="298"/>
      <c r="C274" s="42"/>
      <c r="D274" s="42"/>
      <c r="E274" s="42"/>
      <c r="F274" s="299"/>
      <c r="G274" s="300"/>
      <c r="H274" s="42"/>
      <c r="I274" s="299"/>
      <c r="J274" s="301" t="str">
        <f t="array" ref="J274">IF(B274="","", INDEX(Ingredients!G:G, MATCH(B274, Ingredients!B:B,0)))</f>
        <v/>
      </c>
      <c r="K274" s="42"/>
      <c r="L274" s="299"/>
      <c r="M274" s="301" t="str">
        <f t="array" ref="M274">IF(B274="","", INDEX(Ingredients!H:H, MATCH(B274, Ingredients!B:B,0)))</f>
        <v/>
      </c>
      <c r="N274" s="42"/>
      <c r="O274" s="42"/>
      <c r="P274" s="299"/>
      <c r="Q274" s="302" t="str">
        <f t="shared" si="1"/>
        <v/>
      </c>
      <c r="R274" s="42"/>
      <c r="S274" s="42"/>
      <c r="T274" s="44"/>
      <c r="U274" s="114"/>
      <c r="V274" s="101"/>
      <c r="W274" s="298"/>
      <c r="X274" s="42"/>
      <c r="Y274" s="42"/>
      <c r="Z274" s="42"/>
      <c r="AA274" s="299"/>
      <c r="AB274" s="300"/>
      <c r="AC274" s="42"/>
      <c r="AD274" s="299"/>
      <c r="AE274" s="301" t="str">
        <f t="array" ref="AE274">IF(W274="","", INDEX(Other!G:G, MATCH(W274, Other!B:B,0)))</f>
        <v/>
      </c>
      <c r="AF274" s="42"/>
      <c r="AG274" s="299"/>
      <c r="AH274" s="301" t="str">
        <f t="array" ref="AH274">IF(W274="","", INDEX(Other!H:H, MATCH(W274, Other!B:B,0)))</f>
        <v/>
      </c>
      <c r="AI274" s="42"/>
      <c r="AJ274" s="42"/>
      <c r="AK274" s="299"/>
      <c r="AL274" s="301" t="str">
        <f t="shared" si="2"/>
        <v/>
      </c>
      <c r="AM274" s="42"/>
      <c r="AN274" s="42"/>
      <c r="AO274" s="44"/>
      <c r="AP274" s="114"/>
      <c r="AQ274" s="83"/>
      <c r="AR274" s="83"/>
      <c r="AS274" s="83"/>
      <c r="AT274" s="83"/>
      <c r="AU274" s="83"/>
      <c r="AV274" s="83"/>
      <c r="AW274" s="83"/>
      <c r="AX274" s="83"/>
      <c r="AY274" s="83"/>
      <c r="AZ274" s="83"/>
      <c r="BA274" s="83"/>
      <c r="BB274" s="83"/>
    </row>
    <row r="275">
      <c r="A275" s="101"/>
      <c r="B275" s="298"/>
      <c r="C275" s="42"/>
      <c r="D275" s="42"/>
      <c r="E275" s="42"/>
      <c r="F275" s="299"/>
      <c r="G275" s="300"/>
      <c r="H275" s="42"/>
      <c r="I275" s="299"/>
      <c r="J275" s="301" t="str">
        <f t="array" ref="J275">IF(B275="","", INDEX(Ingredients!G:G, MATCH(B275, Ingredients!B:B,0)))</f>
        <v/>
      </c>
      <c r="K275" s="42"/>
      <c r="L275" s="299"/>
      <c r="M275" s="301" t="str">
        <f t="array" ref="M275">IF(B275="","", INDEX(Ingredients!H:H, MATCH(B275, Ingredients!B:B,0)))</f>
        <v/>
      </c>
      <c r="N275" s="42"/>
      <c r="O275" s="42"/>
      <c r="P275" s="299"/>
      <c r="Q275" s="302" t="str">
        <f t="shared" si="1"/>
        <v/>
      </c>
      <c r="R275" s="42"/>
      <c r="S275" s="42"/>
      <c r="T275" s="44"/>
      <c r="U275" s="114"/>
      <c r="V275" s="101"/>
      <c r="W275" s="298"/>
      <c r="X275" s="42"/>
      <c r="Y275" s="42"/>
      <c r="Z275" s="42"/>
      <c r="AA275" s="299"/>
      <c r="AB275" s="300"/>
      <c r="AC275" s="42"/>
      <c r="AD275" s="299"/>
      <c r="AE275" s="301" t="str">
        <f t="array" ref="AE275">IF(W275="","", INDEX(Other!G:G, MATCH(W275, Other!B:B,0)))</f>
        <v/>
      </c>
      <c r="AF275" s="42"/>
      <c r="AG275" s="299"/>
      <c r="AH275" s="301" t="str">
        <f t="array" ref="AH275">IF(W275="","", INDEX(Other!H:H, MATCH(W275, Other!B:B,0)))</f>
        <v/>
      </c>
      <c r="AI275" s="42"/>
      <c r="AJ275" s="42"/>
      <c r="AK275" s="299"/>
      <c r="AL275" s="301" t="str">
        <f t="shared" si="2"/>
        <v/>
      </c>
      <c r="AM275" s="42"/>
      <c r="AN275" s="42"/>
      <c r="AO275" s="44"/>
      <c r="AP275" s="114"/>
      <c r="AQ275" s="83"/>
      <c r="AR275" s="83"/>
      <c r="AS275" s="83"/>
      <c r="AT275" s="83"/>
      <c r="AU275" s="83"/>
      <c r="AV275" s="83"/>
      <c r="AW275" s="83"/>
      <c r="AX275" s="83"/>
      <c r="AY275" s="83"/>
      <c r="AZ275" s="83"/>
      <c r="BA275" s="83"/>
      <c r="BB275" s="83"/>
    </row>
    <row r="276">
      <c r="A276" s="101"/>
      <c r="B276" s="298"/>
      <c r="C276" s="42"/>
      <c r="D276" s="42"/>
      <c r="E276" s="42"/>
      <c r="F276" s="299"/>
      <c r="G276" s="300"/>
      <c r="H276" s="42"/>
      <c r="I276" s="299"/>
      <c r="J276" s="301" t="str">
        <f t="array" ref="J276">IF(B276="","", INDEX(Ingredients!G:G, MATCH(B276, Ingredients!B:B,0)))</f>
        <v/>
      </c>
      <c r="K276" s="42"/>
      <c r="L276" s="299"/>
      <c r="M276" s="301" t="str">
        <f t="array" ref="M276">IF(B276="","", INDEX(Ingredients!H:H, MATCH(B276, Ingredients!B:B,0)))</f>
        <v/>
      </c>
      <c r="N276" s="42"/>
      <c r="O276" s="42"/>
      <c r="P276" s="299"/>
      <c r="Q276" s="302" t="str">
        <f t="shared" si="1"/>
        <v/>
      </c>
      <c r="R276" s="42"/>
      <c r="S276" s="42"/>
      <c r="T276" s="44"/>
      <c r="U276" s="114"/>
      <c r="V276" s="101"/>
      <c r="W276" s="298"/>
      <c r="X276" s="42"/>
      <c r="Y276" s="42"/>
      <c r="Z276" s="42"/>
      <c r="AA276" s="299"/>
      <c r="AB276" s="300"/>
      <c r="AC276" s="42"/>
      <c r="AD276" s="299"/>
      <c r="AE276" s="301" t="str">
        <f t="array" ref="AE276">IF(W276="","", INDEX(Other!G:G, MATCH(W276, Other!B:B,0)))</f>
        <v/>
      </c>
      <c r="AF276" s="42"/>
      <c r="AG276" s="299"/>
      <c r="AH276" s="301" t="str">
        <f t="array" ref="AH276">IF(W276="","", INDEX(Other!H:H, MATCH(W276, Other!B:B,0)))</f>
        <v/>
      </c>
      <c r="AI276" s="42"/>
      <c r="AJ276" s="42"/>
      <c r="AK276" s="299"/>
      <c r="AL276" s="301" t="str">
        <f t="shared" si="2"/>
        <v/>
      </c>
      <c r="AM276" s="42"/>
      <c r="AN276" s="42"/>
      <c r="AO276" s="44"/>
      <c r="AP276" s="114"/>
      <c r="AQ276" s="83"/>
      <c r="AR276" s="83"/>
      <c r="AS276" s="83"/>
      <c r="AT276" s="83"/>
      <c r="AU276" s="83"/>
      <c r="AV276" s="83"/>
      <c r="AW276" s="83"/>
      <c r="AX276" s="83"/>
      <c r="AY276" s="83"/>
      <c r="AZ276" s="83"/>
      <c r="BA276" s="83"/>
      <c r="BB276" s="83"/>
    </row>
    <row r="277">
      <c r="A277" s="101"/>
      <c r="B277" s="298"/>
      <c r="C277" s="42"/>
      <c r="D277" s="42"/>
      <c r="E277" s="42"/>
      <c r="F277" s="299"/>
      <c r="G277" s="300"/>
      <c r="H277" s="42"/>
      <c r="I277" s="299"/>
      <c r="J277" s="301" t="str">
        <f t="array" ref="J277">IF(B277="","", INDEX(Ingredients!G:G, MATCH(B277, Ingredients!B:B,0)))</f>
        <v/>
      </c>
      <c r="K277" s="42"/>
      <c r="L277" s="299"/>
      <c r="M277" s="301" t="str">
        <f t="array" ref="M277">IF(B277="","", INDEX(Ingredients!H:H, MATCH(B277, Ingredients!B:B,0)))</f>
        <v/>
      </c>
      <c r="N277" s="42"/>
      <c r="O277" s="42"/>
      <c r="P277" s="299"/>
      <c r="Q277" s="302" t="str">
        <f t="shared" si="1"/>
        <v/>
      </c>
      <c r="R277" s="42"/>
      <c r="S277" s="42"/>
      <c r="T277" s="44"/>
      <c r="U277" s="114"/>
      <c r="V277" s="101"/>
      <c r="W277" s="298"/>
      <c r="X277" s="42"/>
      <c r="Y277" s="42"/>
      <c r="Z277" s="42"/>
      <c r="AA277" s="299"/>
      <c r="AB277" s="300"/>
      <c r="AC277" s="42"/>
      <c r="AD277" s="299"/>
      <c r="AE277" s="301" t="str">
        <f t="array" ref="AE277">IF(W277="","", INDEX(Other!G:G, MATCH(W277, Other!B:B,0)))</f>
        <v/>
      </c>
      <c r="AF277" s="42"/>
      <c r="AG277" s="299"/>
      <c r="AH277" s="301" t="str">
        <f t="array" ref="AH277">IF(W277="","", INDEX(Other!H:H, MATCH(W277, Other!B:B,0)))</f>
        <v/>
      </c>
      <c r="AI277" s="42"/>
      <c r="AJ277" s="42"/>
      <c r="AK277" s="299"/>
      <c r="AL277" s="301" t="str">
        <f t="shared" si="2"/>
        <v/>
      </c>
      <c r="AM277" s="42"/>
      <c r="AN277" s="42"/>
      <c r="AO277" s="44"/>
      <c r="AP277" s="114"/>
      <c r="AQ277" s="83"/>
      <c r="AR277" s="83"/>
      <c r="AS277" s="83"/>
      <c r="AT277" s="83"/>
      <c r="AU277" s="83"/>
      <c r="AV277" s="83"/>
      <c r="AW277" s="83"/>
      <c r="AX277" s="83"/>
      <c r="AY277" s="83"/>
      <c r="AZ277" s="83"/>
      <c r="BA277" s="83"/>
      <c r="BB277" s="83"/>
    </row>
    <row r="278">
      <c r="A278" s="101"/>
      <c r="B278" s="298"/>
      <c r="C278" s="42"/>
      <c r="D278" s="42"/>
      <c r="E278" s="42"/>
      <c r="F278" s="299"/>
      <c r="G278" s="300"/>
      <c r="H278" s="42"/>
      <c r="I278" s="299"/>
      <c r="J278" s="301" t="str">
        <f t="array" ref="J278">IF(B278="","", INDEX(Ingredients!G:G, MATCH(B278, Ingredients!B:B,0)))</f>
        <v/>
      </c>
      <c r="K278" s="42"/>
      <c r="L278" s="299"/>
      <c r="M278" s="301" t="str">
        <f t="array" ref="M278">IF(B278="","", INDEX(Ingredients!H:H, MATCH(B278, Ingredients!B:B,0)))</f>
        <v/>
      </c>
      <c r="N278" s="42"/>
      <c r="O278" s="42"/>
      <c r="P278" s="299"/>
      <c r="Q278" s="302" t="str">
        <f t="shared" si="1"/>
        <v/>
      </c>
      <c r="R278" s="42"/>
      <c r="S278" s="42"/>
      <c r="T278" s="44"/>
      <c r="U278" s="114"/>
      <c r="V278" s="101"/>
      <c r="W278" s="298"/>
      <c r="X278" s="42"/>
      <c r="Y278" s="42"/>
      <c r="Z278" s="42"/>
      <c r="AA278" s="299"/>
      <c r="AB278" s="300"/>
      <c r="AC278" s="42"/>
      <c r="AD278" s="299"/>
      <c r="AE278" s="301" t="str">
        <f t="array" ref="AE278">IF(W278="","", INDEX(Other!G:G, MATCH(W278, Other!B:B,0)))</f>
        <v/>
      </c>
      <c r="AF278" s="42"/>
      <c r="AG278" s="299"/>
      <c r="AH278" s="301" t="str">
        <f t="array" ref="AH278">IF(W278="","", INDEX(Other!H:H, MATCH(W278, Other!B:B,0)))</f>
        <v/>
      </c>
      <c r="AI278" s="42"/>
      <c r="AJ278" s="42"/>
      <c r="AK278" s="299"/>
      <c r="AL278" s="301" t="str">
        <f t="shared" si="2"/>
        <v/>
      </c>
      <c r="AM278" s="42"/>
      <c r="AN278" s="42"/>
      <c r="AO278" s="44"/>
      <c r="AP278" s="114"/>
      <c r="AQ278" s="83"/>
      <c r="AR278" s="83"/>
      <c r="AS278" s="83"/>
      <c r="AT278" s="83"/>
      <c r="AU278" s="83"/>
      <c r="AV278" s="83"/>
      <c r="AW278" s="83"/>
      <c r="AX278" s="83"/>
      <c r="AY278" s="83"/>
      <c r="AZ278" s="83"/>
      <c r="BA278" s="83"/>
      <c r="BB278" s="83"/>
    </row>
    <row r="279">
      <c r="A279" s="101"/>
      <c r="B279" s="298"/>
      <c r="C279" s="42"/>
      <c r="D279" s="42"/>
      <c r="E279" s="42"/>
      <c r="F279" s="299"/>
      <c r="G279" s="300"/>
      <c r="H279" s="42"/>
      <c r="I279" s="299"/>
      <c r="J279" s="301" t="str">
        <f t="array" ref="J279">IF(B279="","", INDEX(Ingredients!G:G, MATCH(B279, Ingredients!B:B,0)))</f>
        <v/>
      </c>
      <c r="K279" s="42"/>
      <c r="L279" s="299"/>
      <c r="M279" s="301" t="str">
        <f t="array" ref="M279">IF(B279="","", INDEX(Ingredients!H:H, MATCH(B279, Ingredients!B:B,0)))</f>
        <v/>
      </c>
      <c r="N279" s="42"/>
      <c r="O279" s="42"/>
      <c r="P279" s="299"/>
      <c r="Q279" s="302" t="str">
        <f t="shared" si="1"/>
        <v/>
      </c>
      <c r="R279" s="42"/>
      <c r="S279" s="42"/>
      <c r="T279" s="44"/>
      <c r="U279" s="114"/>
      <c r="V279" s="101"/>
      <c r="W279" s="298"/>
      <c r="X279" s="42"/>
      <c r="Y279" s="42"/>
      <c r="Z279" s="42"/>
      <c r="AA279" s="299"/>
      <c r="AB279" s="300"/>
      <c r="AC279" s="42"/>
      <c r="AD279" s="299"/>
      <c r="AE279" s="301" t="str">
        <f t="array" ref="AE279">IF(W279="","", INDEX(Other!G:G, MATCH(W279, Other!B:B,0)))</f>
        <v/>
      </c>
      <c r="AF279" s="42"/>
      <c r="AG279" s="299"/>
      <c r="AH279" s="301" t="str">
        <f t="array" ref="AH279">IF(W279="","", INDEX(Other!H:H, MATCH(W279, Other!B:B,0)))</f>
        <v/>
      </c>
      <c r="AI279" s="42"/>
      <c r="AJ279" s="42"/>
      <c r="AK279" s="299"/>
      <c r="AL279" s="301" t="str">
        <f t="shared" si="2"/>
        <v/>
      </c>
      <c r="AM279" s="42"/>
      <c r="AN279" s="42"/>
      <c r="AO279" s="44"/>
      <c r="AP279" s="114"/>
      <c r="AQ279" s="83"/>
      <c r="AR279" s="83"/>
      <c r="AS279" s="83"/>
      <c r="AT279" s="83"/>
      <c r="AU279" s="83"/>
      <c r="AV279" s="83"/>
      <c r="AW279" s="83"/>
      <c r="AX279" s="83"/>
      <c r="AY279" s="83"/>
      <c r="AZ279" s="83"/>
      <c r="BA279" s="83"/>
      <c r="BB279" s="83"/>
    </row>
    <row r="280">
      <c r="A280" s="101"/>
      <c r="B280" s="298"/>
      <c r="C280" s="42"/>
      <c r="D280" s="42"/>
      <c r="E280" s="42"/>
      <c r="F280" s="299"/>
      <c r="G280" s="300"/>
      <c r="H280" s="42"/>
      <c r="I280" s="299"/>
      <c r="J280" s="301" t="str">
        <f t="array" ref="J280">IF(B280="","", INDEX(Ingredients!G:G, MATCH(B280, Ingredients!B:B,0)))</f>
        <v/>
      </c>
      <c r="K280" s="42"/>
      <c r="L280" s="299"/>
      <c r="M280" s="301" t="str">
        <f t="array" ref="M280">IF(B280="","", INDEX(Ingredients!H:H, MATCH(B280, Ingredients!B:B,0)))</f>
        <v/>
      </c>
      <c r="N280" s="42"/>
      <c r="O280" s="42"/>
      <c r="P280" s="299"/>
      <c r="Q280" s="302" t="str">
        <f t="shared" si="1"/>
        <v/>
      </c>
      <c r="R280" s="42"/>
      <c r="S280" s="42"/>
      <c r="T280" s="44"/>
      <c r="U280" s="114"/>
      <c r="V280" s="101"/>
      <c r="W280" s="298"/>
      <c r="X280" s="42"/>
      <c r="Y280" s="42"/>
      <c r="Z280" s="42"/>
      <c r="AA280" s="299"/>
      <c r="AB280" s="300"/>
      <c r="AC280" s="42"/>
      <c r="AD280" s="299"/>
      <c r="AE280" s="301" t="str">
        <f t="array" ref="AE280">IF(W280="","", INDEX(Other!G:G, MATCH(W280, Other!B:B,0)))</f>
        <v/>
      </c>
      <c r="AF280" s="42"/>
      <c r="AG280" s="299"/>
      <c r="AH280" s="301" t="str">
        <f t="array" ref="AH280">IF(W280="","", INDEX(Other!H:H, MATCH(W280, Other!B:B,0)))</f>
        <v/>
      </c>
      <c r="AI280" s="42"/>
      <c r="AJ280" s="42"/>
      <c r="AK280" s="299"/>
      <c r="AL280" s="301" t="str">
        <f t="shared" si="2"/>
        <v/>
      </c>
      <c r="AM280" s="42"/>
      <c r="AN280" s="42"/>
      <c r="AO280" s="44"/>
      <c r="AP280" s="114"/>
      <c r="AQ280" s="83"/>
      <c r="AR280" s="83"/>
      <c r="AS280" s="83"/>
      <c r="AT280" s="83"/>
      <c r="AU280" s="83"/>
      <c r="AV280" s="83"/>
      <c r="AW280" s="83"/>
      <c r="AX280" s="83"/>
      <c r="AY280" s="83"/>
      <c r="AZ280" s="83"/>
      <c r="BA280" s="83"/>
      <c r="BB280" s="83"/>
    </row>
    <row r="281">
      <c r="A281" s="101"/>
      <c r="B281" s="298"/>
      <c r="C281" s="42"/>
      <c r="D281" s="42"/>
      <c r="E281" s="42"/>
      <c r="F281" s="299"/>
      <c r="G281" s="300"/>
      <c r="H281" s="42"/>
      <c r="I281" s="299"/>
      <c r="J281" s="301" t="str">
        <f t="array" ref="J281">IF(B281="","", INDEX(Ingredients!G:G, MATCH(B281, Ingredients!B:B,0)))</f>
        <v/>
      </c>
      <c r="K281" s="42"/>
      <c r="L281" s="299"/>
      <c r="M281" s="301" t="str">
        <f t="array" ref="M281">IF(B281="","", INDEX(Ingredients!H:H, MATCH(B281, Ingredients!B:B,0)))</f>
        <v/>
      </c>
      <c r="N281" s="42"/>
      <c r="O281" s="42"/>
      <c r="P281" s="299"/>
      <c r="Q281" s="302" t="str">
        <f t="shared" si="1"/>
        <v/>
      </c>
      <c r="R281" s="42"/>
      <c r="S281" s="42"/>
      <c r="T281" s="44"/>
      <c r="U281" s="114"/>
      <c r="V281" s="101"/>
      <c r="W281" s="298"/>
      <c r="X281" s="42"/>
      <c r="Y281" s="42"/>
      <c r="Z281" s="42"/>
      <c r="AA281" s="299"/>
      <c r="AB281" s="300"/>
      <c r="AC281" s="42"/>
      <c r="AD281" s="299"/>
      <c r="AE281" s="301" t="str">
        <f t="array" ref="AE281">IF(W281="","", INDEX(Other!G:G, MATCH(W281, Other!B:B,0)))</f>
        <v/>
      </c>
      <c r="AF281" s="42"/>
      <c r="AG281" s="299"/>
      <c r="AH281" s="301" t="str">
        <f t="array" ref="AH281">IF(W281="","", INDEX(Other!H:H, MATCH(W281, Other!B:B,0)))</f>
        <v/>
      </c>
      <c r="AI281" s="42"/>
      <c r="AJ281" s="42"/>
      <c r="AK281" s="299"/>
      <c r="AL281" s="301" t="str">
        <f t="shared" si="2"/>
        <v/>
      </c>
      <c r="AM281" s="42"/>
      <c r="AN281" s="42"/>
      <c r="AO281" s="44"/>
      <c r="AP281" s="114"/>
      <c r="AQ281" s="83"/>
      <c r="AR281" s="83"/>
      <c r="AS281" s="83"/>
      <c r="AT281" s="83"/>
      <c r="AU281" s="83"/>
      <c r="AV281" s="83"/>
      <c r="AW281" s="83"/>
      <c r="AX281" s="83"/>
      <c r="AY281" s="83"/>
      <c r="AZ281" s="83"/>
      <c r="BA281" s="83"/>
      <c r="BB281" s="83"/>
    </row>
    <row r="282">
      <c r="A282" s="101"/>
      <c r="B282" s="298"/>
      <c r="C282" s="42"/>
      <c r="D282" s="42"/>
      <c r="E282" s="42"/>
      <c r="F282" s="299"/>
      <c r="G282" s="300"/>
      <c r="H282" s="42"/>
      <c r="I282" s="299"/>
      <c r="J282" s="301" t="str">
        <f t="array" ref="J282">IF(B282="","", INDEX(Ingredients!G:G, MATCH(B282, Ingredients!B:B,0)))</f>
        <v/>
      </c>
      <c r="K282" s="42"/>
      <c r="L282" s="299"/>
      <c r="M282" s="301" t="str">
        <f t="array" ref="M282">IF(B282="","", INDEX(Ingredients!H:H, MATCH(B282, Ingredients!B:B,0)))</f>
        <v/>
      </c>
      <c r="N282" s="42"/>
      <c r="O282" s="42"/>
      <c r="P282" s="299"/>
      <c r="Q282" s="302" t="str">
        <f t="shared" si="1"/>
        <v/>
      </c>
      <c r="R282" s="42"/>
      <c r="S282" s="42"/>
      <c r="T282" s="44"/>
      <c r="U282" s="114"/>
      <c r="V282" s="101"/>
      <c r="W282" s="298"/>
      <c r="X282" s="42"/>
      <c r="Y282" s="42"/>
      <c r="Z282" s="42"/>
      <c r="AA282" s="299"/>
      <c r="AB282" s="300"/>
      <c r="AC282" s="42"/>
      <c r="AD282" s="299"/>
      <c r="AE282" s="301" t="str">
        <f t="array" ref="AE282">IF(W282="","", INDEX(Other!G:G, MATCH(W282, Other!B:B,0)))</f>
        <v/>
      </c>
      <c r="AF282" s="42"/>
      <c r="AG282" s="299"/>
      <c r="AH282" s="301" t="str">
        <f t="array" ref="AH282">IF(W282="","", INDEX(Other!H:H, MATCH(W282, Other!B:B,0)))</f>
        <v/>
      </c>
      <c r="AI282" s="42"/>
      <c r="AJ282" s="42"/>
      <c r="AK282" s="299"/>
      <c r="AL282" s="301" t="str">
        <f t="shared" si="2"/>
        <v/>
      </c>
      <c r="AM282" s="42"/>
      <c r="AN282" s="42"/>
      <c r="AO282" s="44"/>
      <c r="AP282" s="114"/>
      <c r="AQ282" s="83"/>
      <c r="AR282" s="83"/>
      <c r="AS282" s="83"/>
      <c r="AT282" s="83"/>
      <c r="AU282" s="83"/>
      <c r="AV282" s="83"/>
      <c r="AW282" s="83"/>
      <c r="AX282" s="83"/>
      <c r="AY282" s="83"/>
      <c r="AZ282" s="83"/>
      <c r="BA282" s="83"/>
      <c r="BB282" s="83"/>
    </row>
    <row r="283">
      <c r="A283" s="101"/>
      <c r="B283" s="298"/>
      <c r="C283" s="42"/>
      <c r="D283" s="42"/>
      <c r="E283" s="42"/>
      <c r="F283" s="299"/>
      <c r="G283" s="300"/>
      <c r="H283" s="42"/>
      <c r="I283" s="299"/>
      <c r="J283" s="301" t="str">
        <f t="array" ref="J283">IF(B283="","", INDEX(Ingredients!G:G, MATCH(B283, Ingredients!B:B,0)))</f>
        <v/>
      </c>
      <c r="K283" s="42"/>
      <c r="L283" s="299"/>
      <c r="M283" s="301" t="str">
        <f t="array" ref="M283">IF(B283="","", INDEX(Ingredients!H:H, MATCH(B283, Ingredients!B:B,0)))</f>
        <v/>
      </c>
      <c r="N283" s="42"/>
      <c r="O283" s="42"/>
      <c r="P283" s="299"/>
      <c r="Q283" s="302" t="str">
        <f t="shared" si="1"/>
        <v/>
      </c>
      <c r="R283" s="42"/>
      <c r="S283" s="42"/>
      <c r="T283" s="44"/>
      <c r="U283" s="114"/>
      <c r="V283" s="101"/>
      <c r="W283" s="298"/>
      <c r="X283" s="42"/>
      <c r="Y283" s="42"/>
      <c r="Z283" s="42"/>
      <c r="AA283" s="299"/>
      <c r="AB283" s="300"/>
      <c r="AC283" s="42"/>
      <c r="AD283" s="299"/>
      <c r="AE283" s="301" t="str">
        <f t="array" ref="AE283">IF(W283="","", INDEX(Other!G:G, MATCH(W283, Other!B:B,0)))</f>
        <v/>
      </c>
      <c r="AF283" s="42"/>
      <c r="AG283" s="299"/>
      <c r="AH283" s="301" t="str">
        <f t="array" ref="AH283">IF(W283="","", INDEX(Other!H:H, MATCH(W283, Other!B:B,0)))</f>
        <v/>
      </c>
      <c r="AI283" s="42"/>
      <c r="AJ283" s="42"/>
      <c r="AK283" s="299"/>
      <c r="AL283" s="301" t="str">
        <f t="shared" si="2"/>
        <v/>
      </c>
      <c r="AM283" s="42"/>
      <c r="AN283" s="42"/>
      <c r="AO283" s="44"/>
      <c r="AP283" s="114"/>
      <c r="AQ283" s="83"/>
      <c r="AR283" s="83"/>
      <c r="AS283" s="83"/>
      <c r="AT283" s="83"/>
      <c r="AU283" s="83"/>
      <c r="AV283" s="83"/>
      <c r="AW283" s="83"/>
      <c r="AX283" s="83"/>
      <c r="AY283" s="83"/>
      <c r="AZ283" s="83"/>
      <c r="BA283" s="83"/>
      <c r="BB283" s="83"/>
    </row>
    <row r="284">
      <c r="A284" s="101"/>
      <c r="B284" s="298"/>
      <c r="C284" s="42"/>
      <c r="D284" s="42"/>
      <c r="E284" s="42"/>
      <c r="F284" s="299"/>
      <c r="G284" s="300"/>
      <c r="H284" s="42"/>
      <c r="I284" s="299"/>
      <c r="J284" s="301" t="str">
        <f t="array" ref="J284">IF(B284="","", INDEX(Ingredients!G:G, MATCH(B284, Ingredients!B:B,0)))</f>
        <v/>
      </c>
      <c r="K284" s="42"/>
      <c r="L284" s="299"/>
      <c r="M284" s="301" t="str">
        <f t="array" ref="M284">IF(B284="","", INDEX(Ingredients!H:H, MATCH(B284, Ingredients!B:B,0)))</f>
        <v/>
      </c>
      <c r="N284" s="42"/>
      <c r="O284" s="42"/>
      <c r="P284" s="299"/>
      <c r="Q284" s="302" t="str">
        <f t="shared" si="1"/>
        <v/>
      </c>
      <c r="R284" s="42"/>
      <c r="S284" s="42"/>
      <c r="T284" s="44"/>
      <c r="U284" s="114"/>
      <c r="V284" s="101"/>
      <c r="W284" s="298"/>
      <c r="X284" s="42"/>
      <c r="Y284" s="42"/>
      <c r="Z284" s="42"/>
      <c r="AA284" s="299"/>
      <c r="AB284" s="300"/>
      <c r="AC284" s="42"/>
      <c r="AD284" s="299"/>
      <c r="AE284" s="301" t="str">
        <f t="array" ref="AE284">IF(W284="","", INDEX(Other!G:G, MATCH(W284, Other!B:B,0)))</f>
        <v/>
      </c>
      <c r="AF284" s="42"/>
      <c r="AG284" s="299"/>
      <c r="AH284" s="301" t="str">
        <f t="array" ref="AH284">IF(W284="","", INDEX(Other!H:H, MATCH(W284, Other!B:B,0)))</f>
        <v/>
      </c>
      <c r="AI284" s="42"/>
      <c r="AJ284" s="42"/>
      <c r="AK284" s="299"/>
      <c r="AL284" s="301" t="str">
        <f t="shared" si="2"/>
        <v/>
      </c>
      <c r="AM284" s="42"/>
      <c r="AN284" s="42"/>
      <c r="AO284" s="44"/>
      <c r="AP284" s="114"/>
      <c r="AQ284" s="83"/>
      <c r="AR284" s="83"/>
      <c r="AS284" s="83"/>
      <c r="AT284" s="83"/>
      <c r="AU284" s="83"/>
      <c r="AV284" s="83"/>
      <c r="AW284" s="83"/>
      <c r="AX284" s="83"/>
      <c r="AY284" s="83"/>
      <c r="AZ284" s="83"/>
      <c r="BA284" s="83"/>
      <c r="BB284" s="83"/>
    </row>
    <row r="285">
      <c r="A285" s="101"/>
      <c r="B285" s="298"/>
      <c r="C285" s="42"/>
      <c r="D285" s="42"/>
      <c r="E285" s="42"/>
      <c r="F285" s="299"/>
      <c r="G285" s="300"/>
      <c r="H285" s="42"/>
      <c r="I285" s="299"/>
      <c r="J285" s="301" t="str">
        <f t="array" ref="J285">IF(B285="","", INDEX(Ingredients!G:G, MATCH(B285, Ingredients!B:B,0)))</f>
        <v/>
      </c>
      <c r="K285" s="42"/>
      <c r="L285" s="299"/>
      <c r="M285" s="301" t="str">
        <f t="array" ref="M285">IF(B285="","", INDEX(Ingredients!H:H, MATCH(B285, Ingredients!B:B,0)))</f>
        <v/>
      </c>
      <c r="N285" s="42"/>
      <c r="O285" s="42"/>
      <c r="P285" s="299"/>
      <c r="Q285" s="302" t="str">
        <f t="shared" si="1"/>
        <v/>
      </c>
      <c r="R285" s="42"/>
      <c r="S285" s="42"/>
      <c r="T285" s="44"/>
      <c r="U285" s="114"/>
      <c r="V285" s="101"/>
      <c r="W285" s="298"/>
      <c r="X285" s="42"/>
      <c r="Y285" s="42"/>
      <c r="Z285" s="42"/>
      <c r="AA285" s="299"/>
      <c r="AB285" s="300"/>
      <c r="AC285" s="42"/>
      <c r="AD285" s="299"/>
      <c r="AE285" s="301" t="str">
        <f t="array" ref="AE285">IF(W285="","", INDEX(Other!G:G, MATCH(W285, Other!B:B,0)))</f>
        <v/>
      </c>
      <c r="AF285" s="42"/>
      <c r="AG285" s="299"/>
      <c r="AH285" s="301" t="str">
        <f t="array" ref="AH285">IF(W285="","", INDEX(Other!H:H, MATCH(W285, Other!B:B,0)))</f>
        <v/>
      </c>
      <c r="AI285" s="42"/>
      <c r="AJ285" s="42"/>
      <c r="AK285" s="299"/>
      <c r="AL285" s="301" t="str">
        <f t="shared" si="2"/>
        <v/>
      </c>
      <c r="AM285" s="42"/>
      <c r="AN285" s="42"/>
      <c r="AO285" s="44"/>
      <c r="AP285" s="114"/>
      <c r="AQ285" s="83"/>
      <c r="AR285" s="83"/>
      <c r="AS285" s="83"/>
      <c r="AT285" s="83"/>
      <c r="AU285" s="83"/>
      <c r="AV285" s="83"/>
      <c r="AW285" s="83"/>
      <c r="AX285" s="83"/>
      <c r="AY285" s="83"/>
      <c r="AZ285" s="83"/>
      <c r="BA285" s="83"/>
      <c r="BB285" s="83"/>
    </row>
    <row r="286">
      <c r="A286" s="101"/>
      <c r="B286" s="298"/>
      <c r="C286" s="42"/>
      <c r="D286" s="42"/>
      <c r="E286" s="42"/>
      <c r="F286" s="299"/>
      <c r="G286" s="300"/>
      <c r="H286" s="42"/>
      <c r="I286" s="299"/>
      <c r="J286" s="301" t="str">
        <f t="array" ref="J286">IF(B286="","", INDEX(Ingredients!G:G, MATCH(B286, Ingredients!B:B,0)))</f>
        <v/>
      </c>
      <c r="K286" s="42"/>
      <c r="L286" s="299"/>
      <c r="M286" s="301" t="str">
        <f t="array" ref="M286">IF(B286="","", INDEX(Ingredients!H:H, MATCH(B286, Ingredients!B:B,0)))</f>
        <v/>
      </c>
      <c r="N286" s="42"/>
      <c r="O286" s="42"/>
      <c r="P286" s="299"/>
      <c r="Q286" s="302" t="str">
        <f t="shared" si="1"/>
        <v/>
      </c>
      <c r="R286" s="42"/>
      <c r="S286" s="42"/>
      <c r="T286" s="44"/>
      <c r="U286" s="114"/>
      <c r="V286" s="101"/>
      <c r="W286" s="298"/>
      <c r="X286" s="42"/>
      <c r="Y286" s="42"/>
      <c r="Z286" s="42"/>
      <c r="AA286" s="299"/>
      <c r="AB286" s="300"/>
      <c r="AC286" s="42"/>
      <c r="AD286" s="299"/>
      <c r="AE286" s="301" t="str">
        <f t="array" ref="AE286">IF(W286="","", INDEX(Other!G:G, MATCH(W286, Other!B:B,0)))</f>
        <v/>
      </c>
      <c r="AF286" s="42"/>
      <c r="AG286" s="299"/>
      <c r="AH286" s="301" t="str">
        <f t="array" ref="AH286">IF(W286="","", INDEX(Other!H:H, MATCH(W286, Other!B:B,0)))</f>
        <v/>
      </c>
      <c r="AI286" s="42"/>
      <c r="AJ286" s="42"/>
      <c r="AK286" s="299"/>
      <c r="AL286" s="301" t="str">
        <f t="shared" si="2"/>
        <v/>
      </c>
      <c r="AM286" s="42"/>
      <c r="AN286" s="42"/>
      <c r="AO286" s="44"/>
      <c r="AP286" s="114"/>
      <c r="AQ286" s="83"/>
      <c r="AR286" s="83"/>
      <c r="AS286" s="83"/>
      <c r="AT286" s="83"/>
      <c r="AU286" s="83"/>
      <c r="AV286" s="83"/>
      <c r="AW286" s="83"/>
      <c r="AX286" s="83"/>
      <c r="AY286" s="83"/>
      <c r="AZ286" s="83"/>
      <c r="BA286" s="83"/>
      <c r="BB286" s="83"/>
    </row>
    <row r="287">
      <c r="A287" s="101"/>
      <c r="B287" s="298"/>
      <c r="C287" s="42"/>
      <c r="D287" s="42"/>
      <c r="E287" s="42"/>
      <c r="F287" s="299"/>
      <c r="G287" s="300"/>
      <c r="H287" s="42"/>
      <c r="I287" s="299"/>
      <c r="J287" s="301" t="str">
        <f t="array" ref="J287">IF(B287="","", INDEX(Ingredients!G:G, MATCH(B287, Ingredients!B:B,0)))</f>
        <v/>
      </c>
      <c r="K287" s="42"/>
      <c r="L287" s="299"/>
      <c r="M287" s="301" t="str">
        <f t="array" ref="M287">IF(B287="","", INDEX(Ingredients!H:H, MATCH(B287, Ingredients!B:B,0)))</f>
        <v/>
      </c>
      <c r="N287" s="42"/>
      <c r="O287" s="42"/>
      <c r="P287" s="299"/>
      <c r="Q287" s="302" t="str">
        <f t="shared" si="1"/>
        <v/>
      </c>
      <c r="R287" s="42"/>
      <c r="S287" s="42"/>
      <c r="T287" s="44"/>
      <c r="U287" s="114"/>
      <c r="V287" s="101"/>
      <c r="W287" s="298"/>
      <c r="X287" s="42"/>
      <c r="Y287" s="42"/>
      <c r="Z287" s="42"/>
      <c r="AA287" s="299"/>
      <c r="AB287" s="300"/>
      <c r="AC287" s="42"/>
      <c r="AD287" s="299"/>
      <c r="AE287" s="301" t="str">
        <f t="array" ref="AE287">IF(W287="","", INDEX(Other!G:G, MATCH(W287, Other!B:B,0)))</f>
        <v/>
      </c>
      <c r="AF287" s="42"/>
      <c r="AG287" s="299"/>
      <c r="AH287" s="301" t="str">
        <f t="array" ref="AH287">IF(W287="","", INDEX(Other!H:H, MATCH(W287, Other!B:B,0)))</f>
        <v/>
      </c>
      <c r="AI287" s="42"/>
      <c r="AJ287" s="42"/>
      <c r="AK287" s="299"/>
      <c r="AL287" s="301" t="str">
        <f t="shared" si="2"/>
        <v/>
      </c>
      <c r="AM287" s="42"/>
      <c r="AN287" s="42"/>
      <c r="AO287" s="44"/>
      <c r="AP287" s="114"/>
      <c r="AQ287" s="83"/>
      <c r="AR287" s="83"/>
      <c r="AS287" s="83"/>
      <c r="AT287" s="83"/>
      <c r="AU287" s="83"/>
      <c r="AV287" s="83"/>
      <c r="AW287" s="83"/>
      <c r="AX287" s="83"/>
      <c r="AY287" s="83"/>
      <c r="AZ287" s="83"/>
      <c r="BA287" s="83"/>
      <c r="BB287" s="83"/>
    </row>
    <row r="288">
      <c r="A288" s="101"/>
      <c r="B288" s="298"/>
      <c r="C288" s="42"/>
      <c r="D288" s="42"/>
      <c r="E288" s="42"/>
      <c r="F288" s="299"/>
      <c r="G288" s="300"/>
      <c r="H288" s="42"/>
      <c r="I288" s="299"/>
      <c r="J288" s="301" t="str">
        <f t="array" ref="J288">IF(B288="","", INDEX(Ingredients!G:G, MATCH(B288, Ingredients!B:B,0)))</f>
        <v/>
      </c>
      <c r="K288" s="42"/>
      <c r="L288" s="299"/>
      <c r="M288" s="301" t="str">
        <f t="array" ref="M288">IF(B288="","", INDEX(Ingredients!H:H, MATCH(B288, Ingredients!B:B,0)))</f>
        <v/>
      </c>
      <c r="N288" s="42"/>
      <c r="O288" s="42"/>
      <c r="P288" s="299"/>
      <c r="Q288" s="302" t="str">
        <f t="shared" si="1"/>
        <v/>
      </c>
      <c r="R288" s="42"/>
      <c r="S288" s="42"/>
      <c r="T288" s="44"/>
      <c r="U288" s="114"/>
      <c r="V288" s="101"/>
      <c r="W288" s="298"/>
      <c r="X288" s="42"/>
      <c r="Y288" s="42"/>
      <c r="Z288" s="42"/>
      <c r="AA288" s="299"/>
      <c r="AB288" s="300"/>
      <c r="AC288" s="42"/>
      <c r="AD288" s="299"/>
      <c r="AE288" s="301" t="str">
        <f t="array" ref="AE288">IF(W288="","", INDEX(Other!G:G, MATCH(W288, Other!B:B,0)))</f>
        <v/>
      </c>
      <c r="AF288" s="42"/>
      <c r="AG288" s="299"/>
      <c r="AH288" s="301" t="str">
        <f t="array" ref="AH288">IF(W288="","", INDEX(Other!H:H, MATCH(W288, Other!B:B,0)))</f>
        <v/>
      </c>
      <c r="AI288" s="42"/>
      <c r="AJ288" s="42"/>
      <c r="AK288" s="299"/>
      <c r="AL288" s="301" t="str">
        <f t="shared" si="2"/>
        <v/>
      </c>
      <c r="AM288" s="42"/>
      <c r="AN288" s="42"/>
      <c r="AO288" s="44"/>
      <c r="AP288" s="114"/>
      <c r="AQ288" s="83"/>
      <c r="AR288" s="83"/>
      <c r="AS288" s="83"/>
      <c r="AT288" s="83"/>
      <c r="AU288" s="83"/>
      <c r="AV288" s="83"/>
      <c r="AW288" s="83"/>
      <c r="AX288" s="83"/>
      <c r="AY288" s="83"/>
      <c r="AZ288" s="83"/>
      <c r="BA288" s="83"/>
      <c r="BB288" s="83"/>
    </row>
    <row r="289">
      <c r="A289" s="101"/>
      <c r="B289" s="298"/>
      <c r="C289" s="42"/>
      <c r="D289" s="42"/>
      <c r="E289" s="42"/>
      <c r="F289" s="299"/>
      <c r="G289" s="300"/>
      <c r="H289" s="42"/>
      <c r="I289" s="299"/>
      <c r="J289" s="301" t="str">
        <f t="array" ref="J289">IF(B289="","", INDEX(Ingredients!G:G, MATCH(B289, Ingredients!B:B,0)))</f>
        <v/>
      </c>
      <c r="K289" s="42"/>
      <c r="L289" s="299"/>
      <c r="M289" s="301" t="str">
        <f t="array" ref="M289">IF(B289="","", INDEX(Ingredients!H:H, MATCH(B289, Ingredients!B:B,0)))</f>
        <v/>
      </c>
      <c r="N289" s="42"/>
      <c r="O289" s="42"/>
      <c r="P289" s="299"/>
      <c r="Q289" s="302" t="str">
        <f t="shared" si="1"/>
        <v/>
      </c>
      <c r="R289" s="42"/>
      <c r="S289" s="42"/>
      <c r="T289" s="44"/>
      <c r="U289" s="114"/>
      <c r="V289" s="101"/>
      <c r="W289" s="298"/>
      <c r="X289" s="42"/>
      <c r="Y289" s="42"/>
      <c r="Z289" s="42"/>
      <c r="AA289" s="299"/>
      <c r="AB289" s="300"/>
      <c r="AC289" s="42"/>
      <c r="AD289" s="299"/>
      <c r="AE289" s="301" t="str">
        <f t="array" ref="AE289">IF(W289="","", INDEX(Other!G:G, MATCH(W289, Other!B:B,0)))</f>
        <v/>
      </c>
      <c r="AF289" s="42"/>
      <c r="AG289" s="299"/>
      <c r="AH289" s="301" t="str">
        <f t="array" ref="AH289">IF(W289="","", INDEX(Other!H:H, MATCH(W289, Other!B:B,0)))</f>
        <v/>
      </c>
      <c r="AI289" s="42"/>
      <c r="AJ289" s="42"/>
      <c r="AK289" s="299"/>
      <c r="AL289" s="301" t="str">
        <f t="shared" si="2"/>
        <v/>
      </c>
      <c r="AM289" s="42"/>
      <c r="AN289" s="42"/>
      <c r="AO289" s="44"/>
      <c r="AP289" s="114"/>
      <c r="AQ289" s="83"/>
      <c r="AR289" s="83"/>
      <c r="AS289" s="83"/>
      <c r="AT289" s="83"/>
      <c r="AU289" s="83"/>
      <c r="AV289" s="83"/>
      <c r="AW289" s="83"/>
      <c r="AX289" s="83"/>
      <c r="AY289" s="83"/>
      <c r="AZ289" s="83"/>
      <c r="BA289" s="83"/>
      <c r="BB289" s="83"/>
    </row>
    <row r="290">
      <c r="A290" s="101"/>
      <c r="B290" s="298"/>
      <c r="C290" s="42"/>
      <c r="D290" s="42"/>
      <c r="E290" s="42"/>
      <c r="F290" s="299"/>
      <c r="G290" s="300"/>
      <c r="H290" s="42"/>
      <c r="I290" s="299"/>
      <c r="J290" s="301" t="str">
        <f t="array" ref="J290">IF(B290="","", INDEX(Ingredients!G:G, MATCH(B290, Ingredients!B:B,0)))</f>
        <v/>
      </c>
      <c r="K290" s="42"/>
      <c r="L290" s="299"/>
      <c r="M290" s="301" t="str">
        <f t="array" ref="M290">IF(B290="","", INDEX(Ingredients!H:H, MATCH(B290, Ingredients!B:B,0)))</f>
        <v/>
      </c>
      <c r="N290" s="42"/>
      <c r="O290" s="42"/>
      <c r="P290" s="299"/>
      <c r="Q290" s="302" t="str">
        <f t="shared" si="1"/>
        <v/>
      </c>
      <c r="R290" s="42"/>
      <c r="S290" s="42"/>
      <c r="T290" s="44"/>
      <c r="U290" s="114"/>
      <c r="V290" s="101"/>
      <c r="W290" s="298"/>
      <c r="X290" s="42"/>
      <c r="Y290" s="42"/>
      <c r="Z290" s="42"/>
      <c r="AA290" s="299"/>
      <c r="AB290" s="300"/>
      <c r="AC290" s="42"/>
      <c r="AD290" s="299"/>
      <c r="AE290" s="301" t="str">
        <f t="array" ref="AE290">IF(W290="","", INDEX(Other!G:G, MATCH(W290, Other!B:B,0)))</f>
        <v/>
      </c>
      <c r="AF290" s="42"/>
      <c r="AG290" s="299"/>
      <c r="AH290" s="301" t="str">
        <f t="array" ref="AH290">IF(W290="","", INDEX(Other!H:H, MATCH(W290, Other!B:B,0)))</f>
        <v/>
      </c>
      <c r="AI290" s="42"/>
      <c r="AJ290" s="42"/>
      <c r="AK290" s="299"/>
      <c r="AL290" s="301" t="str">
        <f t="shared" si="2"/>
        <v/>
      </c>
      <c r="AM290" s="42"/>
      <c r="AN290" s="42"/>
      <c r="AO290" s="44"/>
      <c r="AP290" s="114"/>
      <c r="AQ290" s="83"/>
      <c r="AR290" s="83"/>
      <c r="AS290" s="83"/>
      <c r="AT290" s="83"/>
      <c r="AU290" s="83"/>
      <c r="AV290" s="83"/>
      <c r="AW290" s="83"/>
      <c r="AX290" s="83"/>
      <c r="AY290" s="83"/>
      <c r="AZ290" s="83"/>
      <c r="BA290" s="83"/>
      <c r="BB290" s="83"/>
    </row>
    <row r="291">
      <c r="A291" s="101"/>
      <c r="B291" s="298"/>
      <c r="C291" s="42"/>
      <c r="D291" s="42"/>
      <c r="E291" s="42"/>
      <c r="F291" s="299"/>
      <c r="G291" s="300"/>
      <c r="H291" s="42"/>
      <c r="I291" s="299"/>
      <c r="J291" s="301" t="str">
        <f t="array" ref="J291">IF(B291="","", INDEX(Ingredients!G:G, MATCH(B291, Ingredients!B:B,0)))</f>
        <v/>
      </c>
      <c r="K291" s="42"/>
      <c r="L291" s="299"/>
      <c r="M291" s="301" t="str">
        <f t="array" ref="M291">IF(B291="","", INDEX(Ingredients!H:H, MATCH(B291, Ingredients!B:B,0)))</f>
        <v/>
      </c>
      <c r="N291" s="42"/>
      <c r="O291" s="42"/>
      <c r="P291" s="299"/>
      <c r="Q291" s="302" t="str">
        <f t="shared" si="1"/>
        <v/>
      </c>
      <c r="R291" s="42"/>
      <c r="S291" s="42"/>
      <c r="T291" s="44"/>
      <c r="U291" s="114"/>
      <c r="V291" s="101"/>
      <c r="W291" s="298"/>
      <c r="X291" s="42"/>
      <c r="Y291" s="42"/>
      <c r="Z291" s="42"/>
      <c r="AA291" s="299"/>
      <c r="AB291" s="300"/>
      <c r="AC291" s="42"/>
      <c r="AD291" s="299"/>
      <c r="AE291" s="301" t="str">
        <f t="array" ref="AE291">IF(W291="","", INDEX(Other!G:G, MATCH(W291, Other!B:B,0)))</f>
        <v/>
      </c>
      <c r="AF291" s="42"/>
      <c r="AG291" s="299"/>
      <c r="AH291" s="301" t="str">
        <f t="array" ref="AH291">IF(W291="","", INDEX(Other!H:H, MATCH(W291, Other!B:B,0)))</f>
        <v/>
      </c>
      <c r="AI291" s="42"/>
      <c r="AJ291" s="42"/>
      <c r="AK291" s="299"/>
      <c r="AL291" s="301" t="str">
        <f t="shared" si="2"/>
        <v/>
      </c>
      <c r="AM291" s="42"/>
      <c r="AN291" s="42"/>
      <c r="AO291" s="44"/>
      <c r="AP291" s="114"/>
      <c r="AQ291" s="83"/>
      <c r="AR291" s="83"/>
      <c r="AS291" s="83"/>
      <c r="AT291" s="83"/>
      <c r="AU291" s="83"/>
      <c r="AV291" s="83"/>
      <c r="AW291" s="83"/>
      <c r="AX291" s="83"/>
      <c r="AY291" s="83"/>
      <c r="AZ291" s="83"/>
      <c r="BA291" s="83"/>
      <c r="BB291" s="83"/>
    </row>
    <row r="292">
      <c r="A292" s="101"/>
      <c r="B292" s="313"/>
      <c r="C292" s="105"/>
      <c r="D292" s="105"/>
      <c r="E292" s="105"/>
      <c r="F292" s="314"/>
      <c r="G292" s="315"/>
      <c r="H292" s="105"/>
      <c r="I292" s="314"/>
      <c r="J292" s="316" t="str">
        <f t="array" ref="J292">IF(B292="","", INDEX(Ingredients!G:G, MATCH(B292, Ingredients!B:B,0)))</f>
        <v/>
      </c>
      <c r="K292" s="105"/>
      <c r="L292" s="314"/>
      <c r="M292" s="316" t="str">
        <f t="array" ref="M292">IF(B292="","", INDEX(Ingredients!H:H, MATCH(B292, Ingredients!B:B,0)))</f>
        <v/>
      </c>
      <c r="N292" s="105"/>
      <c r="O292" s="105"/>
      <c r="P292" s="314"/>
      <c r="Q292" s="317" t="str">
        <f t="shared" si="1"/>
        <v/>
      </c>
      <c r="R292" s="105"/>
      <c r="S292" s="105"/>
      <c r="T292" s="106"/>
      <c r="U292" s="114"/>
      <c r="V292" s="101"/>
      <c r="W292" s="313"/>
      <c r="X292" s="105"/>
      <c r="Y292" s="105"/>
      <c r="Z292" s="105"/>
      <c r="AA292" s="314"/>
      <c r="AB292" s="315"/>
      <c r="AC292" s="105"/>
      <c r="AD292" s="314"/>
      <c r="AE292" s="316" t="str">
        <f t="array" ref="AE292">IF(W292="","", INDEX(Other!G:G, MATCH(W292, Other!B:B,0)))</f>
        <v/>
      </c>
      <c r="AF292" s="105"/>
      <c r="AG292" s="314"/>
      <c r="AH292" s="316" t="str">
        <f t="array" ref="AH292">IF(W292="","", INDEX(Other!H:H, MATCH(W292, Other!B:B,0)))</f>
        <v/>
      </c>
      <c r="AI292" s="105"/>
      <c r="AJ292" s="105"/>
      <c r="AK292" s="314"/>
      <c r="AL292" s="316" t="str">
        <f t="shared" si="2"/>
        <v/>
      </c>
      <c r="AM292" s="105"/>
      <c r="AN292" s="105"/>
      <c r="AO292" s="106"/>
      <c r="AP292" s="114"/>
      <c r="AQ292" s="83"/>
      <c r="AR292" s="83"/>
      <c r="AS292" s="83"/>
      <c r="AT292" s="83"/>
      <c r="AU292" s="83"/>
      <c r="AV292" s="83"/>
      <c r="AW292" s="83"/>
      <c r="AX292" s="83"/>
      <c r="AY292" s="83"/>
      <c r="AZ292" s="83"/>
      <c r="BA292" s="83"/>
      <c r="BB292" s="83"/>
    </row>
    <row r="293">
      <c r="A293" s="83"/>
      <c r="B293" s="157"/>
      <c r="C293" s="157"/>
      <c r="D293" s="157"/>
      <c r="E293" s="157"/>
      <c r="F293" s="157"/>
      <c r="G293" s="157"/>
      <c r="H293" s="157"/>
      <c r="I293" s="157"/>
      <c r="J293" s="157"/>
      <c r="K293" s="157"/>
      <c r="L293" s="157"/>
      <c r="M293" s="157"/>
      <c r="N293" s="157"/>
      <c r="O293" s="157"/>
      <c r="P293" s="157"/>
      <c r="Q293" s="157"/>
      <c r="R293" s="157"/>
      <c r="S293" s="157"/>
      <c r="T293" s="157"/>
      <c r="U293" s="83"/>
      <c r="V293" s="83"/>
      <c r="W293" s="157"/>
      <c r="X293" s="157"/>
      <c r="Y293" s="157"/>
      <c r="Z293" s="157"/>
      <c r="AA293" s="157"/>
      <c r="AB293" s="157"/>
      <c r="AC293" s="157"/>
      <c r="AD293" s="157"/>
      <c r="AE293" s="318"/>
      <c r="AF293" s="319"/>
      <c r="AG293" s="320"/>
      <c r="AH293" s="157"/>
      <c r="AI293" s="157"/>
      <c r="AJ293" s="157"/>
      <c r="AK293" s="157"/>
      <c r="AL293" s="157"/>
      <c r="AM293" s="157"/>
      <c r="AN293" s="157"/>
      <c r="AO293" s="157"/>
      <c r="AP293" s="83"/>
      <c r="AQ293" s="83"/>
      <c r="AR293" s="83"/>
      <c r="AS293" s="83"/>
      <c r="AT293" s="83"/>
      <c r="AU293" s="83"/>
      <c r="AV293" s="83"/>
      <c r="AW293" s="83"/>
      <c r="AX293" s="83"/>
      <c r="AY293" s="83"/>
      <c r="AZ293" s="83"/>
      <c r="BA293" s="83"/>
      <c r="BB293" s="321" t="s">
        <v>105</v>
      </c>
    </row>
  </sheetData>
  <mergeCells count="2733">
    <mergeCell ref="R5:T5"/>
    <mergeCell ref="V5:X5"/>
    <mergeCell ref="AB5:AF5"/>
    <mergeCell ref="AG5:AH5"/>
    <mergeCell ref="R6:T6"/>
    <mergeCell ref="V6:X6"/>
    <mergeCell ref="R3:T3"/>
    <mergeCell ref="R7:T7"/>
    <mergeCell ref="V7:X7"/>
    <mergeCell ref="Q11:S11"/>
    <mergeCell ref="AB11:AD11"/>
    <mergeCell ref="AM11:AO11"/>
    <mergeCell ref="AB13:AD13"/>
    <mergeCell ref="AM13:AO13"/>
    <mergeCell ref="V3:X3"/>
    <mergeCell ref="Q13:S13"/>
    <mergeCell ref="P17:R17"/>
    <mergeCell ref="AB14:AD14"/>
    <mergeCell ref="AB16:AD16"/>
    <mergeCell ref="AA17:AC17"/>
    <mergeCell ref="AB20:AD20"/>
    <mergeCell ref="AX15:AZ15"/>
    <mergeCell ref="AW16:AY16"/>
    <mergeCell ref="AL17:AN17"/>
    <mergeCell ref="AX14:AZ14"/>
    <mergeCell ref="AX18:AZ18"/>
    <mergeCell ref="AX20:AZ20"/>
    <mergeCell ref="Q16:S16"/>
    <mergeCell ref="Q19:S19"/>
    <mergeCell ref="Q20:S20"/>
    <mergeCell ref="AM16:AO16"/>
    <mergeCell ref="AM19:AO19"/>
    <mergeCell ref="AM20:AO20"/>
    <mergeCell ref="G19:H19"/>
    <mergeCell ref="G20:H20"/>
    <mergeCell ref="A1:BB1"/>
    <mergeCell ref="B3:I3"/>
    <mergeCell ref="AA3:AI3"/>
    <mergeCell ref="B4:I4"/>
    <mergeCell ref="B5:I14"/>
    <mergeCell ref="AG6:AH6"/>
    <mergeCell ref="AX11:AZ11"/>
    <mergeCell ref="Q14:S14"/>
    <mergeCell ref="P21:R21"/>
    <mergeCell ref="AA21:AC21"/>
    <mergeCell ref="AL21:AN21"/>
    <mergeCell ref="AX22:AZ22"/>
    <mergeCell ref="AW23:AY23"/>
    <mergeCell ref="AG24:AP24"/>
    <mergeCell ref="AX13:AZ13"/>
    <mergeCell ref="AM14:AO14"/>
    <mergeCell ref="B16:I16"/>
    <mergeCell ref="G18:H18"/>
    <mergeCell ref="AB19:AD19"/>
    <mergeCell ref="AX19:AZ19"/>
    <mergeCell ref="AX21:AZ21"/>
    <mergeCell ref="M26:P26"/>
    <mergeCell ref="Q26:T26"/>
    <mergeCell ref="W26:AA26"/>
    <mergeCell ref="AB26:AD26"/>
    <mergeCell ref="AE26:AG26"/>
    <mergeCell ref="AH26:AK26"/>
    <mergeCell ref="AL26:AO26"/>
    <mergeCell ref="C21:F23"/>
    <mergeCell ref="G22:H22"/>
    <mergeCell ref="K24:T24"/>
    <mergeCell ref="V24:AE24"/>
    <mergeCell ref="B26:F26"/>
    <mergeCell ref="G26:I26"/>
    <mergeCell ref="J26:L26"/>
    <mergeCell ref="B31:F31"/>
    <mergeCell ref="G31:I31"/>
    <mergeCell ref="J31:L31"/>
    <mergeCell ref="M31:P31"/>
    <mergeCell ref="Q31:T31"/>
    <mergeCell ref="W31:AA31"/>
    <mergeCell ref="AB31:AD31"/>
    <mergeCell ref="B32:F32"/>
    <mergeCell ref="G32:I32"/>
    <mergeCell ref="J32:L32"/>
    <mergeCell ref="M32:P32"/>
    <mergeCell ref="Q32:T32"/>
    <mergeCell ref="W32:AA32"/>
    <mergeCell ref="AB32:AD32"/>
    <mergeCell ref="AE33:AG33"/>
    <mergeCell ref="AH33:AK33"/>
    <mergeCell ref="AL33:AO33"/>
    <mergeCell ref="B33:F33"/>
    <mergeCell ref="G33:I33"/>
    <mergeCell ref="J33:L33"/>
    <mergeCell ref="M33:P33"/>
    <mergeCell ref="Q33:T33"/>
    <mergeCell ref="W33:AA33"/>
    <mergeCell ref="AB33:AD33"/>
    <mergeCell ref="AE34:AG34"/>
    <mergeCell ref="AH34:AK34"/>
    <mergeCell ref="AL34:AO34"/>
    <mergeCell ref="B34:F34"/>
    <mergeCell ref="G34:I34"/>
    <mergeCell ref="J34:L34"/>
    <mergeCell ref="M34:P34"/>
    <mergeCell ref="Q34:T34"/>
    <mergeCell ref="W34:AA34"/>
    <mergeCell ref="AB34:AD34"/>
    <mergeCell ref="AE35:AG35"/>
    <mergeCell ref="AH35:AK35"/>
    <mergeCell ref="AL35:AO35"/>
    <mergeCell ref="B35:F35"/>
    <mergeCell ref="G35:I35"/>
    <mergeCell ref="J35:L35"/>
    <mergeCell ref="M35:P35"/>
    <mergeCell ref="Q35:T35"/>
    <mergeCell ref="W35:AA35"/>
    <mergeCell ref="AB35:AD35"/>
    <mergeCell ref="AE36:AG36"/>
    <mergeCell ref="AH36:AK36"/>
    <mergeCell ref="AL36:AO36"/>
    <mergeCell ref="B36:F36"/>
    <mergeCell ref="G36:I36"/>
    <mergeCell ref="J36:L36"/>
    <mergeCell ref="M36:P36"/>
    <mergeCell ref="Q36:T36"/>
    <mergeCell ref="W36:AA36"/>
    <mergeCell ref="AB36:AD36"/>
    <mergeCell ref="AE37:AG37"/>
    <mergeCell ref="AH37:AK37"/>
    <mergeCell ref="AL37:AO37"/>
    <mergeCell ref="B37:F37"/>
    <mergeCell ref="G37:I37"/>
    <mergeCell ref="J37:L37"/>
    <mergeCell ref="M37:P37"/>
    <mergeCell ref="Q37:T37"/>
    <mergeCell ref="W37:AA37"/>
    <mergeCell ref="AB37:AD37"/>
    <mergeCell ref="AE38:AG38"/>
    <mergeCell ref="AH38:AK38"/>
    <mergeCell ref="AL38:AO38"/>
    <mergeCell ref="B38:F38"/>
    <mergeCell ref="G38:I38"/>
    <mergeCell ref="J38:L38"/>
    <mergeCell ref="M38:P38"/>
    <mergeCell ref="Q38:T38"/>
    <mergeCell ref="W38:AA38"/>
    <mergeCell ref="AB38:AD38"/>
    <mergeCell ref="AE39:AG39"/>
    <mergeCell ref="AH39:AK39"/>
    <mergeCell ref="AL39:AO39"/>
    <mergeCell ref="B39:F39"/>
    <mergeCell ref="G39:I39"/>
    <mergeCell ref="J39:L39"/>
    <mergeCell ref="M39:P39"/>
    <mergeCell ref="Q39:T39"/>
    <mergeCell ref="W39:AA39"/>
    <mergeCell ref="AB39:AD39"/>
    <mergeCell ref="AE40:AG40"/>
    <mergeCell ref="AH40:AK40"/>
    <mergeCell ref="AL40:AO40"/>
    <mergeCell ref="B40:F40"/>
    <mergeCell ref="G40:I40"/>
    <mergeCell ref="J40:L40"/>
    <mergeCell ref="M40:P40"/>
    <mergeCell ref="Q40:T40"/>
    <mergeCell ref="W40:AA40"/>
    <mergeCell ref="AB40:AD40"/>
    <mergeCell ref="AE41:AG41"/>
    <mergeCell ref="AH41:AK41"/>
    <mergeCell ref="AL41:AO41"/>
    <mergeCell ref="B41:F41"/>
    <mergeCell ref="G41:I41"/>
    <mergeCell ref="J41:L41"/>
    <mergeCell ref="M41:P41"/>
    <mergeCell ref="Q41:T41"/>
    <mergeCell ref="W41:AA41"/>
    <mergeCell ref="AB41:AD41"/>
    <mergeCell ref="AE42:AG42"/>
    <mergeCell ref="AH42:AK42"/>
    <mergeCell ref="AL42:AO42"/>
    <mergeCell ref="B42:F42"/>
    <mergeCell ref="G42:I42"/>
    <mergeCell ref="J42:L42"/>
    <mergeCell ref="M42:P42"/>
    <mergeCell ref="Q42:T42"/>
    <mergeCell ref="W42:AA42"/>
    <mergeCell ref="AB42:AD42"/>
    <mergeCell ref="AE43:AG43"/>
    <mergeCell ref="AH43:AK43"/>
    <mergeCell ref="AL43:AO43"/>
    <mergeCell ref="B43:F43"/>
    <mergeCell ref="G43:I43"/>
    <mergeCell ref="J43:L43"/>
    <mergeCell ref="M43:P43"/>
    <mergeCell ref="Q43:T43"/>
    <mergeCell ref="W43:AA43"/>
    <mergeCell ref="AB43:AD43"/>
    <mergeCell ref="AE44:AG44"/>
    <mergeCell ref="AH44:AK44"/>
    <mergeCell ref="AL44:AO44"/>
    <mergeCell ref="B44:F44"/>
    <mergeCell ref="G44:I44"/>
    <mergeCell ref="J44:L44"/>
    <mergeCell ref="M44:P44"/>
    <mergeCell ref="Q44:T44"/>
    <mergeCell ref="W44:AA44"/>
    <mergeCell ref="AB44:AD44"/>
    <mergeCell ref="AE45:AG45"/>
    <mergeCell ref="AH45:AK45"/>
    <mergeCell ref="AL45:AO45"/>
    <mergeCell ref="B45:F45"/>
    <mergeCell ref="G45:I45"/>
    <mergeCell ref="J45:L45"/>
    <mergeCell ref="M45:P45"/>
    <mergeCell ref="Q45:T45"/>
    <mergeCell ref="W45:AA45"/>
    <mergeCell ref="AB45:AD45"/>
    <mergeCell ref="AE46:AG46"/>
    <mergeCell ref="AH46:AK46"/>
    <mergeCell ref="AL46:AO46"/>
    <mergeCell ref="B46:F46"/>
    <mergeCell ref="G46:I46"/>
    <mergeCell ref="J46:L46"/>
    <mergeCell ref="M46:P46"/>
    <mergeCell ref="Q46:T46"/>
    <mergeCell ref="W46:AA46"/>
    <mergeCell ref="AB46:AD46"/>
    <mergeCell ref="AE47:AG47"/>
    <mergeCell ref="AH47:AK47"/>
    <mergeCell ref="AL47:AO47"/>
    <mergeCell ref="B47:F47"/>
    <mergeCell ref="G47:I47"/>
    <mergeCell ref="J47:L47"/>
    <mergeCell ref="M47:P47"/>
    <mergeCell ref="Q47:T47"/>
    <mergeCell ref="W47:AA47"/>
    <mergeCell ref="AB47:AD47"/>
    <mergeCell ref="AE48:AG48"/>
    <mergeCell ref="AH48:AK48"/>
    <mergeCell ref="AL48:AO48"/>
    <mergeCell ref="B48:F48"/>
    <mergeCell ref="G48:I48"/>
    <mergeCell ref="J48:L48"/>
    <mergeCell ref="M48:P48"/>
    <mergeCell ref="Q48:T48"/>
    <mergeCell ref="W48:AA48"/>
    <mergeCell ref="AB48:AD48"/>
    <mergeCell ref="AE49:AG49"/>
    <mergeCell ref="AH49:AK49"/>
    <mergeCell ref="AL49:AO49"/>
    <mergeCell ref="B49:F49"/>
    <mergeCell ref="G49:I49"/>
    <mergeCell ref="J49:L49"/>
    <mergeCell ref="M49:P49"/>
    <mergeCell ref="Q49:T49"/>
    <mergeCell ref="W49:AA49"/>
    <mergeCell ref="AB49:AD49"/>
    <mergeCell ref="AE50:AG50"/>
    <mergeCell ref="AH50:AK50"/>
    <mergeCell ref="AL50:AO50"/>
    <mergeCell ref="B50:F50"/>
    <mergeCell ref="G50:I50"/>
    <mergeCell ref="J50:L50"/>
    <mergeCell ref="M50:P50"/>
    <mergeCell ref="Q50:T50"/>
    <mergeCell ref="W50:AA50"/>
    <mergeCell ref="AB50:AD50"/>
    <mergeCell ref="AE51:AG51"/>
    <mergeCell ref="AH51:AK51"/>
    <mergeCell ref="AL51:AO51"/>
    <mergeCell ref="B51:F51"/>
    <mergeCell ref="G51:I51"/>
    <mergeCell ref="J51:L51"/>
    <mergeCell ref="M51:P51"/>
    <mergeCell ref="Q51:T51"/>
    <mergeCell ref="W51:AA51"/>
    <mergeCell ref="AB51:AD51"/>
    <mergeCell ref="AE52:AG52"/>
    <mergeCell ref="AH52:AK52"/>
    <mergeCell ref="AL52:AO52"/>
    <mergeCell ref="B52:F52"/>
    <mergeCell ref="G52:I52"/>
    <mergeCell ref="J52:L52"/>
    <mergeCell ref="M52:P52"/>
    <mergeCell ref="Q52:T52"/>
    <mergeCell ref="W52:AA52"/>
    <mergeCell ref="AB52:AD52"/>
    <mergeCell ref="AE53:AG53"/>
    <mergeCell ref="AH53:AK53"/>
    <mergeCell ref="AL53:AO53"/>
    <mergeCell ref="B53:F53"/>
    <mergeCell ref="G53:I53"/>
    <mergeCell ref="J53:L53"/>
    <mergeCell ref="M53:P53"/>
    <mergeCell ref="Q53:T53"/>
    <mergeCell ref="W53:AA53"/>
    <mergeCell ref="AB53:AD53"/>
    <mergeCell ref="AE54:AG54"/>
    <mergeCell ref="AH54:AK54"/>
    <mergeCell ref="AL54:AO54"/>
    <mergeCell ref="B54:F54"/>
    <mergeCell ref="G54:I54"/>
    <mergeCell ref="J54:L54"/>
    <mergeCell ref="M54:P54"/>
    <mergeCell ref="Q54:T54"/>
    <mergeCell ref="W54:AA54"/>
    <mergeCell ref="AB54:AD54"/>
    <mergeCell ref="AE55:AG55"/>
    <mergeCell ref="AH55:AK55"/>
    <mergeCell ref="AL55:AO55"/>
    <mergeCell ref="B55:F55"/>
    <mergeCell ref="G55:I55"/>
    <mergeCell ref="J55:L55"/>
    <mergeCell ref="M55:P55"/>
    <mergeCell ref="Q55:T55"/>
    <mergeCell ref="W55:AA55"/>
    <mergeCell ref="AB55:AD55"/>
    <mergeCell ref="AE56:AG56"/>
    <mergeCell ref="AH56:AK56"/>
    <mergeCell ref="AL56:AO56"/>
    <mergeCell ref="B56:F56"/>
    <mergeCell ref="G56:I56"/>
    <mergeCell ref="J56:L56"/>
    <mergeCell ref="M56:P56"/>
    <mergeCell ref="Q56:T56"/>
    <mergeCell ref="W56:AA56"/>
    <mergeCell ref="AB56:AD56"/>
    <mergeCell ref="AE57:AG57"/>
    <mergeCell ref="AH57:AK57"/>
    <mergeCell ref="AL57:AO57"/>
    <mergeCell ref="B57:F57"/>
    <mergeCell ref="G57:I57"/>
    <mergeCell ref="J57:L57"/>
    <mergeCell ref="M57:P57"/>
    <mergeCell ref="Q57:T57"/>
    <mergeCell ref="W57:AA57"/>
    <mergeCell ref="AB57:AD57"/>
    <mergeCell ref="AE58:AG58"/>
    <mergeCell ref="AH58:AK58"/>
    <mergeCell ref="AL58:AO58"/>
    <mergeCell ref="B58:F58"/>
    <mergeCell ref="G58:I58"/>
    <mergeCell ref="J58:L58"/>
    <mergeCell ref="M58:P58"/>
    <mergeCell ref="Q58:T58"/>
    <mergeCell ref="W58:AA58"/>
    <mergeCell ref="AB58:AD58"/>
    <mergeCell ref="AE59:AG59"/>
    <mergeCell ref="AH59:AK59"/>
    <mergeCell ref="AL59:AO59"/>
    <mergeCell ref="B59:F59"/>
    <mergeCell ref="G59:I59"/>
    <mergeCell ref="J59:L59"/>
    <mergeCell ref="M59:P59"/>
    <mergeCell ref="Q59:T59"/>
    <mergeCell ref="W59:AA59"/>
    <mergeCell ref="AB59:AD59"/>
    <mergeCell ref="AE60:AG60"/>
    <mergeCell ref="AH60:AK60"/>
    <mergeCell ref="AL60:AO60"/>
    <mergeCell ref="B60:F60"/>
    <mergeCell ref="G60:I60"/>
    <mergeCell ref="J60:L60"/>
    <mergeCell ref="M60:P60"/>
    <mergeCell ref="Q60:T60"/>
    <mergeCell ref="W60:AA60"/>
    <mergeCell ref="AB60:AD60"/>
    <mergeCell ref="AE61:AG61"/>
    <mergeCell ref="AH61:AK61"/>
    <mergeCell ref="AL61:AO61"/>
    <mergeCell ref="B61:F61"/>
    <mergeCell ref="G61:I61"/>
    <mergeCell ref="J61:L61"/>
    <mergeCell ref="M61:P61"/>
    <mergeCell ref="Q61:T61"/>
    <mergeCell ref="W61:AA61"/>
    <mergeCell ref="AB61:AD61"/>
    <mergeCell ref="AE62:AG62"/>
    <mergeCell ref="AH62:AK62"/>
    <mergeCell ref="AL62:AO62"/>
    <mergeCell ref="B62:F62"/>
    <mergeCell ref="G62:I62"/>
    <mergeCell ref="J62:L62"/>
    <mergeCell ref="M62:P62"/>
    <mergeCell ref="Q62:T62"/>
    <mergeCell ref="W62:AA62"/>
    <mergeCell ref="AB62:AD62"/>
    <mergeCell ref="AE63:AG63"/>
    <mergeCell ref="AH63:AK63"/>
    <mergeCell ref="AL63:AO63"/>
    <mergeCell ref="B63:F63"/>
    <mergeCell ref="G63:I63"/>
    <mergeCell ref="J63:L63"/>
    <mergeCell ref="M63:P63"/>
    <mergeCell ref="Q63:T63"/>
    <mergeCell ref="W63:AA63"/>
    <mergeCell ref="AB63:AD63"/>
    <mergeCell ref="AE64:AG64"/>
    <mergeCell ref="AH64:AK64"/>
    <mergeCell ref="AL64:AO64"/>
    <mergeCell ref="B64:F64"/>
    <mergeCell ref="G64:I64"/>
    <mergeCell ref="J64:L64"/>
    <mergeCell ref="M64:P64"/>
    <mergeCell ref="Q64:T64"/>
    <mergeCell ref="W64:AA64"/>
    <mergeCell ref="AB64:AD64"/>
    <mergeCell ref="AE65:AG65"/>
    <mergeCell ref="AH65:AK65"/>
    <mergeCell ref="AL65:AO65"/>
    <mergeCell ref="B65:F65"/>
    <mergeCell ref="G65:I65"/>
    <mergeCell ref="J65:L65"/>
    <mergeCell ref="M65:P65"/>
    <mergeCell ref="Q65:T65"/>
    <mergeCell ref="W65:AA65"/>
    <mergeCell ref="AB65:AD65"/>
    <mergeCell ref="AE66:AG66"/>
    <mergeCell ref="AH66:AK66"/>
    <mergeCell ref="AL66:AO66"/>
    <mergeCell ref="B66:F66"/>
    <mergeCell ref="G66:I66"/>
    <mergeCell ref="J66:L66"/>
    <mergeCell ref="M66:P66"/>
    <mergeCell ref="Q66:T66"/>
    <mergeCell ref="W66:AA66"/>
    <mergeCell ref="AB66:AD66"/>
    <mergeCell ref="AE67:AG67"/>
    <mergeCell ref="AH67:AK67"/>
    <mergeCell ref="AL67:AO67"/>
    <mergeCell ref="B67:F67"/>
    <mergeCell ref="G67:I67"/>
    <mergeCell ref="J67:L67"/>
    <mergeCell ref="M67:P67"/>
    <mergeCell ref="Q67:T67"/>
    <mergeCell ref="W67:AA67"/>
    <mergeCell ref="AB67:AD67"/>
    <mergeCell ref="AE68:AG68"/>
    <mergeCell ref="AH68:AK68"/>
    <mergeCell ref="AL68:AO68"/>
    <mergeCell ref="B68:F68"/>
    <mergeCell ref="G68:I68"/>
    <mergeCell ref="J68:L68"/>
    <mergeCell ref="M68:P68"/>
    <mergeCell ref="Q68:T68"/>
    <mergeCell ref="W68:AA68"/>
    <mergeCell ref="AB68:AD68"/>
    <mergeCell ref="AE69:AG69"/>
    <mergeCell ref="AH69:AK69"/>
    <mergeCell ref="AL69:AO69"/>
    <mergeCell ref="B69:F69"/>
    <mergeCell ref="G69:I69"/>
    <mergeCell ref="J69:L69"/>
    <mergeCell ref="M69:P69"/>
    <mergeCell ref="Q69:T69"/>
    <mergeCell ref="W69:AA69"/>
    <mergeCell ref="AB69:AD69"/>
    <mergeCell ref="AE70:AG70"/>
    <mergeCell ref="AH70:AK70"/>
    <mergeCell ref="AL70:AO70"/>
    <mergeCell ref="B70:F70"/>
    <mergeCell ref="G70:I70"/>
    <mergeCell ref="J70:L70"/>
    <mergeCell ref="M70:P70"/>
    <mergeCell ref="Q70:T70"/>
    <mergeCell ref="W70:AA70"/>
    <mergeCell ref="AB70:AD70"/>
    <mergeCell ref="AE71:AG71"/>
    <mergeCell ref="AH71:AK71"/>
    <mergeCell ref="AL71:AO71"/>
    <mergeCell ref="B71:F71"/>
    <mergeCell ref="G71:I71"/>
    <mergeCell ref="J71:L71"/>
    <mergeCell ref="M71:P71"/>
    <mergeCell ref="Q71:T71"/>
    <mergeCell ref="W71:AA71"/>
    <mergeCell ref="AB71:AD71"/>
    <mergeCell ref="AE72:AG72"/>
    <mergeCell ref="AH72:AK72"/>
    <mergeCell ref="AL72:AO72"/>
    <mergeCell ref="B72:F72"/>
    <mergeCell ref="G72:I72"/>
    <mergeCell ref="J72:L72"/>
    <mergeCell ref="M72:P72"/>
    <mergeCell ref="Q72:T72"/>
    <mergeCell ref="W72:AA72"/>
    <mergeCell ref="AB72:AD72"/>
    <mergeCell ref="AE73:AG73"/>
    <mergeCell ref="AH73:AK73"/>
    <mergeCell ref="AL73:AO73"/>
    <mergeCell ref="B73:F73"/>
    <mergeCell ref="G73:I73"/>
    <mergeCell ref="J73:L73"/>
    <mergeCell ref="M73:P73"/>
    <mergeCell ref="Q73:T73"/>
    <mergeCell ref="W73:AA73"/>
    <mergeCell ref="AB73:AD73"/>
    <mergeCell ref="AE74:AG74"/>
    <mergeCell ref="AH74:AK74"/>
    <mergeCell ref="AL74:AO74"/>
    <mergeCell ref="B74:F74"/>
    <mergeCell ref="G74:I74"/>
    <mergeCell ref="J74:L74"/>
    <mergeCell ref="M74:P74"/>
    <mergeCell ref="Q74:T74"/>
    <mergeCell ref="W74:AA74"/>
    <mergeCell ref="AB74:AD74"/>
    <mergeCell ref="AE75:AG75"/>
    <mergeCell ref="AH75:AK75"/>
    <mergeCell ref="AL75:AO75"/>
    <mergeCell ref="B75:F75"/>
    <mergeCell ref="G75:I75"/>
    <mergeCell ref="J75:L75"/>
    <mergeCell ref="M75:P75"/>
    <mergeCell ref="Q75:T75"/>
    <mergeCell ref="W75:AA75"/>
    <mergeCell ref="AB75:AD75"/>
    <mergeCell ref="AE76:AG76"/>
    <mergeCell ref="AH76:AK76"/>
    <mergeCell ref="AL76:AO76"/>
    <mergeCell ref="B76:F76"/>
    <mergeCell ref="G76:I76"/>
    <mergeCell ref="J76:L76"/>
    <mergeCell ref="M76:P76"/>
    <mergeCell ref="Q76:T76"/>
    <mergeCell ref="W76:AA76"/>
    <mergeCell ref="AB76:AD76"/>
    <mergeCell ref="AE77:AG77"/>
    <mergeCell ref="AH77:AK77"/>
    <mergeCell ref="AL77:AO77"/>
    <mergeCell ref="B77:F77"/>
    <mergeCell ref="G77:I77"/>
    <mergeCell ref="J77:L77"/>
    <mergeCell ref="M77:P77"/>
    <mergeCell ref="Q77:T77"/>
    <mergeCell ref="W77:AA77"/>
    <mergeCell ref="AB77:AD77"/>
    <mergeCell ref="AE78:AG78"/>
    <mergeCell ref="AH78:AK78"/>
    <mergeCell ref="AL78:AO78"/>
    <mergeCell ref="B78:F78"/>
    <mergeCell ref="G78:I78"/>
    <mergeCell ref="J78:L78"/>
    <mergeCell ref="M78:P78"/>
    <mergeCell ref="Q78:T78"/>
    <mergeCell ref="W78:AA78"/>
    <mergeCell ref="AB78:AD78"/>
    <mergeCell ref="AE79:AG79"/>
    <mergeCell ref="AH79:AK79"/>
    <mergeCell ref="AL79:AO79"/>
    <mergeCell ref="B79:F79"/>
    <mergeCell ref="G79:I79"/>
    <mergeCell ref="J79:L79"/>
    <mergeCell ref="M79:P79"/>
    <mergeCell ref="Q79:T79"/>
    <mergeCell ref="W79:AA79"/>
    <mergeCell ref="AB79:AD79"/>
    <mergeCell ref="AE80:AG80"/>
    <mergeCell ref="AH80:AK80"/>
    <mergeCell ref="AL80:AO80"/>
    <mergeCell ref="B80:F80"/>
    <mergeCell ref="G80:I80"/>
    <mergeCell ref="J80:L80"/>
    <mergeCell ref="M80:P80"/>
    <mergeCell ref="Q80:T80"/>
    <mergeCell ref="W80:AA80"/>
    <mergeCell ref="AB80:AD80"/>
    <mergeCell ref="AE81:AG81"/>
    <mergeCell ref="AH81:AK81"/>
    <mergeCell ref="AL81:AO81"/>
    <mergeCell ref="B81:F81"/>
    <mergeCell ref="G81:I81"/>
    <mergeCell ref="J81:L81"/>
    <mergeCell ref="M81:P81"/>
    <mergeCell ref="Q81:T81"/>
    <mergeCell ref="W81:AA81"/>
    <mergeCell ref="AB81:AD81"/>
    <mergeCell ref="AE82:AG82"/>
    <mergeCell ref="AH82:AK82"/>
    <mergeCell ref="AL82:AO82"/>
    <mergeCell ref="B82:F82"/>
    <mergeCell ref="G82:I82"/>
    <mergeCell ref="J82:L82"/>
    <mergeCell ref="M82:P82"/>
    <mergeCell ref="Q82:T82"/>
    <mergeCell ref="W82:AA82"/>
    <mergeCell ref="AB82:AD82"/>
    <mergeCell ref="AE83:AG83"/>
    <mergeCell ref="AH83:AK83"/>
    <mergeCell ref="AL83:AO83"/>
    <mergeCell ref="B83:F83"/>
    <mergeCell ref="G83:I83"/>
    <mergeCell ref="J83:L83"/>
    <mergeCell ref="M83:P83"/>
    <mergeCell ref="Q83:T83"/>
    <mergeCell ref="W83:AA83"/>
    <mergeCell ref="AB83:AD83"/>
    <mergeCell ref="AE84:AG84"/>
    <mergeCell ref="AH84:AK84"/>
    <mergeCell ref="AL84:AO84"/>
    <mergeCell ref="B84:F84"/>
    <mergeCell ref="G84:I84"/>
    <mergeCell ref="J84:L84"/>
    <mergeCell ref="M84:P84"/>
    <mergeCell ref="Q84:T84"/>
    <mergeCell ref="W84:AA84"/>
    <mergeCell ref="AB84:AD84"/>
    <mergeCell ref="AE85:AG85"/>
    <mergeCell ref="AH85:AK85"/>
    <mergeCell ref="AL85:AO85"/>
    <mergeCell ref="B85:F85"/>
    <mergeCell ref="G85:I85"/>
    <mergeCell ref="J85:L85"/>
    <mergeCell ref="M85:P85"/>
    <mergeCell ref="Q85:T85"/>
    <mergeCell ref="W85:AA85"/>
    <mergeCell ref="AB85:AD85"/>
    <mergeCell ref="AE86:AG86"/>
    <mergeCell ref="AH86:AK86"/>
    <mergeCell ref="AL86:AO86"/>
    <mergeCell ref="B86:F86"/>
    <mergeCell ref="G86:I86"/>
    <mergeCell ref="J86:L86"/>
    <mergeCell ref="M86:P86"/>
    <mergeCell ref="Q86:T86"/>
    <mergeCell ref="W86:AA86"/>
    <mergeCell ref="AB86:AD86"/>
    <mergeCell ref="AE87:AG87"/>
    <mergeCell ref="AH87:AK87"/>
    <mergeCell ref="AL87:AO87"/>
    <mergeCell ref="B87:F87"/>
    <mergeCell ref="G87:I87"/>
    <mergeCell ref="J87:L87"/>
    <mergeCell ref="M87:P87"/>
    <mergeCell ref="Q87:T87"/>
    <mergeCell ref="W87:AA87"/>
    <mergeCell ref="AB87:AD87"/>
    <mergeCell ref="AE88:AG88"/>
    <mergeCell ref="AH88:AK88"/>
    <mergeCell ref="AL88:AO88"/>
    <mergeCell ref="B88:F88"/>
    <mergeCell ref="G88:I88"/>
    <mergeCell ref="J88:L88"/>
    <mergeCell ref="M88:P88"/>
    <mergeCell ref="Q88:T88"/>
    <mergeCell ref="W88:AA88"/>
    <mergeCell ref="AB88:AD88"/>
    <mergeCell ref="AE89:AG89"/>
    <mergeCell ref="AH89:AK89"/>
    <mergeCell ref="AL89:AO89"/>
    <mergeCell ref="B89:F89"/>
    <mergeCell ref="G89:I89"/>
    <mergeCell ref="J89:L89"/>
    <mergeCell ref="M89:P89"/>
    <mergeCell ref="Q89:T89"/>
    <mergeCell ref="W89:AA89"/>
    <mergeCell ref="AB89:AD89"/>
    <mergeCell ref="AE90:AG90"/>
    <mergeCell ref="AH90:AK90"/>
    <mergeCell ref="AL90:AO90"/>
    <mergeCell ref="B90:F90"/>
    <mergeCell ref="G90:I90"/>
    <mergeCell ref="J90:L90"/>
    <mergeCell ref="M90:P90"/>
    <mergeCell ref="Q90:T90"/>
    <mergeCell ref="W90:AA90"/>
    <mergeCell ref="AB90:AD90"/>
    <mergeCell ref="AE91:AG91"/>
    <mergeCell ref="AH91:AK91"/>
    <mergeCell ref="AL91:AO91"/>
    <mergeCell ref="B91:F91"/>
    <mergeCell ref="G91:I91"/>
    <mergeCell ref="J91:L91"/>
    <mergeCell ref="M91:P91"/>
    <mergeCell ref="Q91:T91"/>
    <mergeCell ref="W91:AA91"/>
    <mergeCell ref="AB91:AD91"/>
    <mergeCell ref="AE92:AG92"/>
    <mergeCell ref="AH92:AK92"/>
    <mergeCell ref="AL92:AO92"/>
    <mergeCell ref="B92:F92"/>
    <mergeCell ref="G92:I92"/>
    <mergeCell ref="J92:L92"/>
    <mergeCell ref="M92:P92"/>
    <mergeCell ref="Q92:T92"/>
    <mergeCell ref="W92:AA92"/>
    <mergeCell ref="AB92:AD92"/>
    <mergeCell ref="AE93:AG93"/>
    <mergeCell ref="AH93:AK93"/>
    <mergeCell ref="AL93:AO93"/>
    <mergeCell ref="B93:F93"/>
    <mergeCell ref="G93:I93"/>
    <mergeCell ref="J93:L93"/>
    <mergeCell ref="M93:P93"/>
    <mergeCell ref="Q93:T93"/>
    <mergeCell ref="W93:AA93"/>
    <mergeCell ref="AB93:AD93"/>
    <mergeCell ref="AE94:AG94"/>
    <mergeCell ref="AH94:AK94"/>
    <mergeCell ref="AL94:AO94"/>
    <mergeCell ref="B94:F94"/>
    <mergeCell ref="G94:I94"/>
    <mergeCell ref="J94:L94"/>
    <mergeCell ref="M94:P94"/>
    <mergeCell ref="Q94:T94"/>
    <mergeCell ref="W94:AA94"/>
    <mergeCell ref="AB94:AD94"/>
    <mergeCell ref="AE95:AG95"/>
    <mergeCell ref="AH95:AK95"/>
    <mergeCell ref="AL95:AO95"/>
    <mergeCell ref="B95:F95"/>
    <mergeCell ref="G95:I95"/>
    <mergeCell ref="J95:L95"/>
    <mergeCell ref="M95:P95"/>
    <mergeCell ref="Q95:T95"/>
    <mergeCell ref="W95:AA95"/>
    <mergeCell ref="AB95:AD95"/>
    <mergeCell ref="AE96:AG96"/>
    <mergeCell ref="AH96:AK96"/>
    <mergeCell ref="AL96:AO96"/>
    <mergeCell ref="B96:F96"/>
    <mergeCell ref="G96:I96"/>
    <mergeCell ref="J96:L96"/>
    <mergeCell ref="M96:P96"/>
    <mergeCell ref="Q96:T96"/>
    <mergeCell ref="W96:AA96"/>
    <mergeCell ref="AB96:AD96"/>
    <mergeCell ref="AE97:AG97"/>
    <mergeCell ref="AH97:AK97"/>
    <mergeCell ref="AL97:AO97"/>
    <mergeCell ref="B97:F97"/>
    <mergeCell ref="G97:I97"/>
    <mergeCell ref="J97:L97"/>
    <mergeCell ref="M97:P97"/>
    <mergeCell ref="Q97:T97"/>
    <mergeCell ref="W97:AA97"/>
    <mergeCell ref="AB97:AD97"/>
    <mergeCell ref="AE98:AG98"/>
    <mergeCell ref="AH98:AK98"/>
    <mergeCell ref="AL98:AO98"/>
    <mergeCell ref="B98:F98"/>
    <mergeCell ref="G98:I98"/>
    <mergeCell ref="J98:L98"/>
    <mergeCell ref="M98:P98"/>
    <mergeCell ref="Q98:T98"/>
    <mergeCell ref="W98:AA98"/>
    <mergeCell ref="AB98:AD98"/>
    <mergeCell ref="AE99:AG99"/>
    <mergeCell ref="AH99:AK99"/>
    <mergeCell ref="AL99:AO99"/>
    <mergeCell ref="B99:F99"/>
    <mergeCell ref="G99:I99"/>
    <mergeCell ref="J99:L99"/>
    <mergeCell ref="M99:P99"/>
    <mergeCell ref="Q99:T99"/>
    <mergeCell ref="W99:AA99"/>
    <mergeCell ref="AB99:AD99"/>
    <mergeCell ref="AE100:AG100"/>
    <mergeCell ref="AH100:AK100"/>
    <mergeCell ref="AL100:AO100"/>
    <mergeCell ref="B100:F100"/>
    <mergeCell ref="G100:I100"/>
    <mergeCell ref="J100:L100"/>
    <mergeCell ref="M100:P100"/>
    <mergeCell ref="Q100:T100"/>
    <mergeCell ref="W100:AA100"/>
    <mergeCell ref="AB100:AD100"/>
    <mergeCell ref="AE101:AG101"/>
    <mergeCell ref="AH101:AK101"/>
    <mergeCell ref="AL101:AO101"/>
    <mergeCell ref="B101:F101"/>
    <mergeCell ref="G101:I101"/>
    <mergeCell ref="J101:L101"/>
    <mergeCell ref="M101:P101"/>
    <mergeCell ref="Q101:T101"/>
    <mergeCell ref="W101:AA101"/>
    <mergeCell ref="AB101:AD101"/>
    <mergeCell ref="AE102:AG102"/>
    <mergeCell ref="AH102:AK102"/>
    <mergeCell ref="AL102:AO102"/>
    <mergeCell ref="B102:F102"/>
    <mergeCell ref="G102:I102"/>
    <mergeCell ref="J102:L102"/>
    <mergeCell ref="M102:P102"/>
    <mergeCell ref="Q102:T102"/>
    <mergeCell ref="W102:AA102"/>
    <mergeCell ref="AB102:AD102"/>
    <mergeCell ref="AE103:AG103"/>
    <mergeCell ref="AH103:AK103"/>
    <mergeCell ref="AL103:AO103"/>
    <mergeCell ref="B103:F103"/>
    <mergeCell ref="G103:I103"/>
    <mergeCell ref="J103:L103"/>
    <mergeCell ref="M103:P103"/>
    <mergeCell ref="Q103:T103"/>
    <mergeCell ref="W103:AA103"/>
    <mergeCell ref="AB103:AD103"/>
    <mergeCell ref="AE104:AG104"/>
    <mergeCell ref="AH104:AK104"/>
    <mergeCell ref="AL104:AO104"/>
    <mergeCell ref="B104:F104"/>
    <mergeCell ref="G104:I104"/>
    <mergeCell ref="J104:L104"/>
    <mergeCell ref="M104:P104"/>
    <mergeCell ref="Q104:T104"/>
    <mergeCell ref="W104:AA104"/>
    <mergeCell ref="AB104:AD104"/>
    <mergeCell ref="AE105:AG105"/>
    <mergeCell ref="AH105:AK105"/>
    <mergeCell ref="AL105:AO105"/>
    <mergeCell ref="B105:F105"/>
    <mergeCell ref="G105:I105"/>
    <mergeCell ref="J105:L105"/>
    <mergeCell ref="M105:P105"/>
    <mergeCell ref="Q105:T105"/>
    <mergeCell ref="W105:AA105"/>
    <mergeCell ref="AB105:AD105"/>
    <mergeCell ref="AE106:AG106"/>
    <mergeCell ref="AH106:AK106"/>
    <mergeCell ref="AL106:AO106"/>
    <mergeCell ref="B106:F106"/>
    <mergeCell ref="G106:I106"/>
    <mergeCell ref="J106:L106"/>
    <mergeCell ref="M106:P106"/>
    <mergeCell ref="Q106:T106"/>
    <mergeCell ref="W106:AA106"/>
    <mergeCell ref="AB106:AD106"/>
    <mergeCell ref="AE107:AG107"/>
    <mergeCell ref="AH107:AK107"/>
    <mergeCell ref="AL107:AO107"/>
    <mergeCell ref="B107:F107"/>
    <mergeCell ref="G107:I107"/>
    <mergeCell ref="J107:L107"/>
    <mergeCell ref="M107:P107"/>
    <mergeCell ref="Q107:T107"/>
    <mergeCell ref="W107:AA107"/>
    <mergeCell ref="AB107:AD107"/>
    <mergeCell ref="AE108:AG108"/>
    <mergeCell ref="AH108:AK108"/>
    <mergeCell ref="AL108:AO108"/>
    <mergeCell ref="B108:F108"/>
    <mergeCell ref="G108:I108"/>
    <mergeCell ref="J108:L108"/>
    <mergeCell ref="M108:P108"/>
    <mergeCell ref="Q108:T108"/>
    <mergeCell ref="W108:AA108"/>
    <mergeCell ref="AB108:AD108"/>
    <mergeCell ref="AE109:AG109"/>
    <mergeCell ref="AH109:AK109"/>
    <mergeCell ref="AL109:AO109"/>
    <mergeCell ref="B109:F109"/>
    <mergeCell ref="G109:I109"/>
    <mergeCell ref="J109:L109"/>
    <mergeCell ref="M109:P109"/>
    <mergeCell ref="Q109:T109"/>
    <mergeCell ref="W109:AA109"/>
    <mergeCell ref="AB109:AD109"/>
    <mergeCell ref="AE110:AG110"/>
    <mergeCell ref="AH110:AK110"/>
    <mergeCell ref="AL110:AO110"/>
    <mergeCell ref="B110:F110"/>
    <mergeCell ref="G110:I110"/>
    <mergeCell ref="J110:L110"/>
    <mergeCell ref="M110:P110"/>
    <mergeCell ref="Q110:T110"/>
    <mergeCell ref="W110:AA110"/>
    <mergeCell ref="AB110:AD110"/>
    <mergeCell ref="AE111:AG111"/>
    <mergeCell ref="AH111:AK111"/>
    <mergeCell ref="AL111:AO111"/>
    <mergeCell ref="B111:F111"/>
    <mergeCell ref="G111:I111"/>
    <mergeCell ref="J111:L111"/>
    <mergeCell ref="M111:P111"/>
    <mergeCell ref="Q111:T111"/>
    <mergeCell ref="W111:AA111"/>
    <mergeCell ref="AB111:AD111"/>
    <mergeCell ref="AE112:AG112"/>
    <mergeCell ref="AH112:AK112"/>
    <mergeCell ref="AL112:AO112"/>
    <mergeCell ref="B112:F112"/>
    <mergeCell ref="G112:I112"/>
    <mergeCell ref="J112:L112"/>
    <mergeCell ref="M112:P112"/>
    <mergeCell ref="Q112:T112"/>
    <mergeCell ref="W112:AA112"/>
    <mergeCell ref="AB112:AD112"/>
    <mergeCell ref="AE113:AG113"/>
    <mergeCell ref="AH113:AK113"/>
    <mergeCell ref="AL113:AO113"/>
    <mergeCell ref="B113:F113"/>
    <mergeCell ref="G113:I113"/>
    <mergeCell ref="J113:L113"/>
    <mergeCell ref="M113:P113"/>
    <mergeCell ref="Q113:T113"/>
    <mergeCell ref="W113:AA113"/>
    <mergeCell ref="AB113:AD113"/>
    <mergeCell ref="AE114:AG114"/>
    <mergeCell ref="AH114:AK114"/>
    <mergeCell ref="AL114:AO114"/>
    <mergeCell ref="B114:F114"/>
    <mergeCell ref="G114:I114"/>
    <mergeCell ref="J114:L114"/>
    <mergeCell ref="M114:P114"/>
    <mergeCell ref="Q114:T114"/>
    <mergeCell ref="W114:AA114"/>
    <mergeCell ref="AB114:AD114"/>
    <mergeCell ref="AE115:AG115"/>
    <mergeCell ref="AH115:AK115"/>
    <mergeCell ref="AL115:AO115"/>
    <mergeCell ref="B115:F115"/>
    <mergeCell ref="G115:I115"/>
    <mergeCell ref="J115:L115"/>
    <mergeCell ref="M115:P115"/>
    <mergeCell ref="Q115:T115"/>
    <mergeCell ref="W115:AA115"/>
    <mergeCell ref="AB115:AD115"/>
    <mergeCell ref="AE116:AG116"/>
    <mergeCell ref="AH116:AK116"/>
    <mergeCell ref="AL116:AO116"/>
    <mergeCell ref="B116:F116"/>
    <mergeCell ref="G116:I116"/>
    <mergeCell ref="J116:L116"/>
    <mergeCell ref="M116:P116"/>
    <mergeCell ref="Q116:T116"/>
    <mergeCell ref="W116:AA116"/>
    <mergeCell ref="AB116:AD116"/>
    <mergeCell ref="AE117:AG117"/>
    <mergeCell ref="AH117:AK117"/>
    <mergeCell ref="AL117:AO117"/>
    <mergeCell ref="B117:F117"/>
    <mergeCell ref="G117:I117"/>
    <mergeCell ref="J117:L117"/>
    <mergeCell ref="M117:P117"/>
    <mergeCell ref="Q117:T117"/>
    <mergeCell ref="W117:AA117"/>
    <mergeCell ref="AB117:AD117"/>
    <mergeCell ref="AE118:AG118"/>
    <mergeCell ref="AH118:AK118"/>
    <mergeCell ref="AL118:AO118"/>
    <mergeCell ref="B118:F118"/>
    <mergeCell ref="G118:I118"/>
    <mergeCell ref="J118:L118"/>
    <mergeCell ref="M118:P118"/>
    <mergeCell ref="Q118:T118"/>
    <mergeCell ref="W118:AA118"/>
    <mergeCell ref="AB118:AD118"/>
    <mergeCell ref="AE119:AG119"/>
    <mergeCell ref="AH119:AK119"/>
    <mergeCell ref="AL119:AO119"/>
    <mergeCell ref="B119:F119"/>
    <mergeCell ref="G119:I119"/>
    <mergeCell ref="J119:L119"/>
    <mergeCell ref="M119:P119"/>
    <mergeCell ref="Q119:T119"/>
    <mergeCell ref="W119:AA119"/>
    <mergeCell ref="AB119:AD119"/>
    <mergeCell ref="AE120:AG120"/>
    <mergeCell ref="AH120:AK120"/>
    <mergeCell ref="AL120:AO120"/>
    <mergeCell ref="B120:F120"/>
    <mergeCell ref="G120:I120"/>
    <mergeCell ref="J120:L120"/>
    <mergeCell ref="M120:P120"/>
    <mergeCell ref="Q120:T120"/>
    <mergeCell ref="W120:AA120"/>
    <mergeCell ref="AB120:AD120"/>
    <mergeCell ref="AE121:AG121"/>
    <mergeCell ref="AH121:AK121"/>
    <mergeCell ref="AL121:AO121"/>
    <mergeCell ref="B121:F121"/>
    <mergeCell ref="G121:I121"/>
    <mergeCell ref="J121:L121"/>
    <mergeCell ref="M121:P121"/>
    <mergeCell ref="Q121:T121"/>
    <mergeCell ref="W121:AA121"/>
    <mergeCell ref="AB121:AD121"/>
    <mergeCell ref="AE122:AG122"/>
    <mergeCell ref="AH122:AK122"/>
    <mergeCell ref="AL122:AO122"/>
    <mergeCell ref="B122:F122"/>
    <mergeCell ref="G122:I122"/>
    <mergeCell ref="J122:L122"/>
    <mergeCell ref="M122:P122"/>
    <mergeCell ref="Q122:T122"/>
    <mergeCell ref="W122:AA122"/>
    <mergeCell ref="AB122:AD122"/>
    <mergeCell ref="AE123:AG123"/>
    <mergeCell ref="AH123:AK123"/>
    <mergeCell ref="AL123:AO123"/>
    <mergeCell ref="B123:F123"/>
    <mergeCell ref="G123:I123"/>
    <mergeCell ref="J123:L123"/>
    <mergeCell ref="M123:P123"/>
    <mergeCell ref="Q123:T123"/>
    <mergeCell ref="W123:AA123"/>
    <mergeCell ref="AB123:AD123"/>
    <mergeCell ref="AE124:AG124"/>
    <mergeCell ref="AH124:AK124"/>
    <mergeCell ref="AL124:AO124"/>
    <mergeCell ref="B124:F124"/>
    <mergeCell ref="G124:I124"/>
    <mergeCell ref="J124:L124"/>
    <mergeCell ref="M124:P124"/>
    <mergeCell ref="Q124:T124"/>
    <mergeCell ref="W124:AA124"/>
    <mergeCell ref="AB124:AD124"/>
    <mergeCell ref="AE125:AG125"/>
    <mergeCell ref="AH125:AK125"/>
    <mergeCell ref="AL125:AO125"/>
    <mergeCell ref="B125:F125"/>
    <mergeCell ref="G125:I125"/>
    <mergeCell ref="J125:L125"/>
    <mergeCell ref="M125:P125"/>
    <mergeCell ref="Q125:T125"/>
    <mergeCell ref="W125:AA125"/>
    <mergeCell ref="AB125:AD125"/>
    <mergeCell ref="AE126:AG126"/>
    <mergeCell ref="AH126:AK126"/>
    <mergeCell ref="AL126:AO126"/>
    <mergeCell ref="B126:F126"/>
    <mergeCell ref="G126:I126"/>
    <mergeCell ref="J126:L126"/>
    <mergeCell ref="M126:P126"/>
    <mergeCell ref="Q126:T126"/>
    <mergeCell ref="W126:AA126"/>
    <mergeCell ref="AB126:AD126"/>
    <mergeCell ref="AE127:AG127"/>
    <mergeCell ref="AH127:AK127"/>
    <mergeCell ref="AL127:AO127"/>
    <mergeCell ref="B127:F127"/>
    <mergeCell ref="G127:I127"/>
    <mergeCell ref="J127:L127"/>
    <mergeCell ref="M127:P127"/>
    <mergeCell ref="Q127:T127"/>
    <mergeCell ref="W127:AA127"/>
    <mergeCell ref="AB127:AD127"/>
    <mergeCell ref="AE128:AG128"/>
    <mergeCell ref="AH128:AK128"/>
    <mergeCell ref="AL128:AO128"/>
    <mergeCell ref="B128:F128"/>
    <mergeCell ref="G128:I128"/>
    <mergeCell ref="J128:L128"/>
    <mergeCell ref="M128:P128"/>
    <mergeCell ref="Q128:T128"/>
    <mergeCell ref="W128:AA128"/>
    <mergeCell ref="AB128:AD128"/>
    <mergeCell ref="AE129:AG129"/>
    <mergeCell ref="AH129:AK129"/>
    <mergeCell ref="AL129:AO129"/>
    <mergeCell ref="B129:F129"/>
    <mergeCell ref="G129:I129"/>
    <mergeCell ref="J129:L129"/>
    <mergeCell ref="M129:P129"/>
    <mergeCell ref="Q129:T129"/>
    <mergeCell ref="W129:AA129"/>
    <mergeCell ref="AB129:AD129"/>
    <mergeCell ref="AE130:AG130"/>
    <mergeCell ref="AH130:AK130"/>
    <mergeCell ref="AL130:AO130"/>
    <mergeCell ref="B130:F130"/>
    <mergeCell ref="G130:I130"/>
    <mergeCell ref="J130:L130"/>
    <mergeCell ref="M130:P130"/>
    <mergeCell ref="Q130:T130"/>
    <mergeCell ref="W130:AA130"/>
    <mergeCell ref="AB130:AD130"/>
    <mergeCell ref="AE131:AG131"/>
    <mergeCell ref="AH131:AK131"/>
    <mergeCell ref="AL131:AO131"/>
    <mergeCell ref="B131:F131"/>
    <mergeCell ref="G131:I131"/>
    <mergeCell ref="J131:L131"/>
    <mergeCell ref="M131:P131"/>
    <mergeCell ref="Q131:T131"/>
    <mergeCell ref="W131:AA131"/>
    <mergeCell ref="AB131:AD131"/>
    <mergeCell ref="AE132:AG132"/>
    <mergeCell ref="AH132:AK132"/>
    <mergeCell ref="AL132:AO132"/>
    <mergeCell ref="B132:F132"/>
    <mergeCell ref="G132:I132"/>
    <mergeCell ref="J132:L132"/>
    <mergeCell ref="M132:P132"/>
    <mergeCell ref="Q132:T132"/>
    <mergeCell ref="W132:AA132"/>
    <mergeCell ref="AB132:AD132"/>
    <mergeCell ref="AE133:AG133"/>
    <mergeCell ref="AH133:AK133"/>
    <mergeCell ref="AL133:AO133"/>
    <mergeCell ref="B133:F133"/>
    <mergeCell ref="G133:I133"/>
    <mergeCell ref="J133:L133"/>
    <mergeCell ref="M133:P133"/>
    <mergeCell ref="Q133:T133"/>
    <mergeCell ref="W133:AA133"/>
    <mergeCell ref="AB133:AD133"/>
    <mergeCell ref="AE134:AG134"/>
    <mergeCell ref="AH134:AK134"/>
    <mergeCell ref="AL134:AO134"/>
    <mergeCell ref="B134:F134"/>
    <mergeCell ref="G134:I134"/>
    <mergeCell ref="J134:L134"/>
    <mergeCell ref="M134:P134"/>
    <mergeCell ref="Q134:T134"/>
    <mergeCell ref="W134:AA134"/>
    <mergeCell ref="AB134:AD134"/>
    <mergeCell ref="AE135:AG135"/>
    <mergeCell ref="AH135:AK135"/>
    <mergeCell ref="AL135:AO135"/>
    <mergeCell ref="B135:F135"/>
    <mergeCell ref="G135:I135"/>
    <mergeCell ref="J135:L135"/>
    <mergeCell ref="M135:P135"/>
    <mergeCell ref="Q135:T135"/>
    <mergeCell ref="W135:AA135"/>
    <mergeCell ref="AB135:AD135"/>
    <mergeCell ref="AE136:AG136"/>
    <mergeCell ref="AH136:AK136"/>
    <mergeCell ref="AL136:AO136"/>
    <mergeCell ref="B136:F136"/>
    <mergeCell ref="G136:I136"/>
    <mergeCell ref="J136:L136"/>
    <mergeCell ref="M136:P136"/>
    <mergeCell ref="Q136:T136"/>
    <mergeCell ref="W136:AA136"/>
    <mergeCell ref="AB136:AD136"/>
    <mergeCell ref="AE137:AG137"/>
    <mergeCell ref="AH137:AK137"/>
    <mergeCell ref="AL137:AO137"/>
    <mergeCell ref="B137:F137"/>
    <mergeCell ref="G137:I137"/>
    <mergeCell ref="J137:L137"/>
    <mergeCell ref="M137:P137"/>
    <mergeCell ref="Q137:T137"/>
    <mergeCell ref="W137:AA137"/>
    <mergeCell ref="AB137:AD137"/>
    <mergeCell ref="AE138:AG138"/>
    <mergeCell ref="AH138:AK138"/>
    <mergeCell ref="AL138:AO138"/>
    <mergeCell ref="B138:F138"/>
    <mergeCell ref="G138:I138"/>
    <mergeCell ref="J138:L138"/>
    <mergeCell ref="M138:P138"/>
    <mergeCell ref="Q138:T138"/>
    <mergeCell ref="W138:AA138"/>
    <mergeCell ref="AB138:AD138"/>
    <mergeCell ref="AE139:AG139"/>
    <mergeCell ref="AH139:AK139"/>
    <mergeCell ref="AL139:AO139"/>
    <mergeCell ref="B139:F139"/>
    <mergeCell ref="G139:I139"/>
    <mergeCell ref="J139:L139"/>
    <mergeCell ref="M139:P139"/>
    <mergeCell ref="Q139:T139"/>
    <mergeCell ref="W139:AA139"/>
    <mergeCell ref="AB139:AD139"/>
    <mergeCell ref="AE140:AG140"/>
    <mergeCell ref="AH140:AK140"/>
    <mergeCell ref="AL140:AO140"/>
    <mergeCell ref="B140:F140"/>
    <mergeCell ref="G140:I140"/>
    <mergeCell ref="J140:L140"/>
    <mergeCell ref="M140:P140"/>
    <mergeCell ref="Q140:T140"/>
    <mergeCell ref="W140:AA140"/>
    <mergeCell ref="AB140:AD140"/>
    <mergeCell ref="AE141:AG141"/>
    <mergeCell ref="AH141:AK141"/>
    <mergeCell ref="AL141:AO141"/>
    <mergeCell ref="B141:F141"/>
    <mergeCell ref="G141:I141"/>
    <mergeCell ref="J141:L141"/>
    <mergeCell ref="M141:P141"/>
    <mergeCell ref="Q141:T141"/>
    <mergeCell ref="W141:AA141"/>
    <mergeCell ref="AB141:AD141"/>
    <mergeCell ref="AE142:AG142"/>
    <mergeCell ref="AH142:AK142"/>
    <mergeCell ref="AL142:AO142"/>
    <mergeCell ref="B142:F142"/>
    <mergeCell ref="G142:I142"/>
    <mergeCell ref="J142:L142"/>
    <mergeCell ref="M142:P142"/>
    <mergeCell ref="Q142:T142"/>
    <mergeCell ref="W142:AA142"/>
    <mergeCell ref="AB142:AD142"/>
    <mergeCell ref="AE143:AG143"/>
    <mergeCell ref="AH143:AK143"/>
    <mergeCell ref="AL143:AO143"/>
    <mergeCell ref="B143:F143"/>
    <mergeCell ref="G143:I143"/>
    <mergeCell ref="J143:L143"/>
    <mergeCell ref="M143:P143"/>
    <mergeCell ref="Q143:T143"/>
    <mergeCell ref="W143:AA143"/>
    <mergeCell ref="AB143:AD143"/>
    <mergeCell ref="AE144:AG144"/>
    <mergeCell ref="AH144:AK144"/>
    <mergeCell ref="AL144:AO144"/>
    <mergeCell ref="B144:F144"/>
    <mergeCell ref="G144:I144"/>
    <mergeCell ref="J144:L144"/>
    <mergeCell ref="M144:P144"/>
    <mergeCell ref="Q144:T144"/>
    <mergeCell ref="W144:AA144"/>
    <mergeCell ref="AB144:AD144"/>
    <mergeCell ref="AE145:AG145"/>
    <mergeCell ref="AH145:AK145"/>
    <mergeCell ref="AL145:AO145"/>
    <mergeCell ref="B145:F145"/>
    <mergeCell ref="G145:I145"/>
    <mergeCell ref="J145:L145"/>
    <mergeCell ref="M145:P145"/>
    <mergeCell ref="Q145:T145"/>
    <mergeCell ref="W145:AA145"/>
    <mergeCell ref="AB145:AD145"/>
    <mergeCell ref="AE146:AG146"/>
    <mergeCell ref="AH146:AK146"/>
    <mergeCell ref="AL146:AO146"/>
    <mergeCell ref="B146:F146"/>
    <mergeCell ref="G146:I146"/>
    <mergeCell ref="J146:L146"/>
    <mergeCell ref="M146:P146"/>
    <mergeCell ref="Q146:T146"/>
    <mergeCell ref="W146:AA146"/>
    <mergeCell ref="AB146:AD146"/>
    <mergeCell ref="AE147:AG147"/>
    <mergeCell ref="AH147:AK147"/>
    <mergeCell ref="AL147:AO147"/>
    <mergeCell ref="B147:F147"/>
    <mergeCell ref="G147:I147"/>
    <mergeCell ref="J147:L147"/>
    <mergeCell ref="M147:P147"/>
    <mergeCell ref="Q147:T147"/>
    <mergeCell ref="W147:AA147"/>
    <mergeCell ref="AB147:AD147"/>
    <mergeCell ref="AE148:AG148"/>
    <mergeCell ref="AH148:AK148"/>
    <mergeCell ref="AL148:AO148"/>
    <mergeCell ref="B148:F148"/>
    <mergeCell ref="G148:I148"/>
    <mergeCell ref="J148:L148"/>
    <mergeCell ref="M148:P148"/>
    <mergeCell ref="Q148:T148"/>
    <mergeCell ref="W148:AA148"/>
    <mergeCell ref="AB148:AD148"/>
    <mergeCell ref="AE149:AG149"/>
    <mergeCell ref="AH149:AK149"/>
    <mergeCell ref="AL149:AO149"/>
    <mergeCell ref="B149:F149"/>
    <mergeCell ref="G149:I149"/>
    <mergeCell ref="J149:L149"/>
    <mergeCell ref="M149:P149"/>
    <mergeCell ref="Q149:T149"/>
    <mergeCell ref="W149:AA149"/>
    <mergeCell ref="AB149:AD149"/>
    <mergeCell ref="AE150:AG150"/>
    <mergeCell ref="AH150:AK150"/>
    <mergeCell ref="AL150:AO150"/>
    <mergeCell ref="B150:F150"/>
    <mergeCell ref="G150:I150"/>
    <mergeCell ref="J150:L150"/>
    <mergeCell ref="M150:P150"/>
    <mergeCell ref="Q150:T150"/>
    <mergeCell ref="W150:AA150"/>
    <mergeCell ref="AB150:AD150"/>
    <mergeCell ref="AE151:AG151"/>
    <mergeCell ref="AH151:AK151"/>
    <mergeCell ref="AL151:AO151"/>
    <mergeCell ref="B151:F151"/>
    <mergeCell ref="G151:I151"/>
    <mergeCell ref="J151:L151"/>
    <mergeCell ref="M151:P151"/>
    <mergeCell ref="Q151:T151"/>
    <mergeCell ref="W151:AA151"/>
    <mergeCell ref="AB151:AD151"/>
    <mergeCell ref="AE152:AG152"/>
    <mergeCell ref="AH152:AK152"/>
    <mergeCell ref="AL152:AO152"/>
    <mergeCell ref="B152:F152"/>
    <mergeCell ref="G152:I152"/>
    <mergeCell ref="J152:L152"/>
    <mergeCell ref="M152:P152"/>
    <mergeCell ref="Q152:T152"/>
    <mergeCell ref="W152:AA152"/>
    <mergeCell ref="AB152:AD152"/>
    <mergeCell ref="AE153:AG153"/>
    <mergeCell ref="AH153:AK153"/>
    <mergeCell ref="AL153:AO153"/>
    <mergeCell ref="B153:F153"/>
    <mergeCell ref="G153:I153"/>
    <mergeCell ref="J153:L153"/>
    <mergeCell ref="M153:P153"/>
    <mergeCell ref="Q153:T153"/>
    <mergeCell ref="W153:AA153"/>
    <mergeCell ref="AB153:AD153"/>
    <mergeCell ref="AE154:AG154"/>
    <mergeCell ref="AH154:AK154"/>
    <mergeCell ref="AL154:AO154"/>
    <mergeCell ref="B154:F154"/>
    <mergeCell ref="G154:I154"/>
    <mergeCell ref="J154:L154"/>
    <mergeCell ref="M154:P154"/>
    <mergeCell ref="Q154:T154"/>
    <mergeCell ref="W154:AA154"/>
    <mergeCell ref="AB154:AD154"/>
    <mergeCell ref="AE155:AG155"/>
    <mergeCell ref="AH155:AK155"/>
    <mergeCell ref="AL155:AO155"/>
    <mergeCell ref="B155:F155"/>
    <mergeCell ref="G155:I155"/>
    <mergeCell ref="J155:L155"/>
    <mergeCell ref="M155:P155"/>
    <mergeCell ref="Q155:T155"/>
    <mergeCell ref="W155:AA155"/>
    <mergeCell ref="AB155:AD155"/>
    <mergeCell ref="AE156:AG156"/>
    <mergeCell ref="AH156:AK156"/>
    <mergeCell ref="AL156:AO156"/>
    <mergeCell ref="B156:F156"/>
    <mergeCell ref="G156:I156"/>
    <mergeCell ref="J156:L156"/>
    <mergeCell ref="M156:P156"/>
    <mergeCell ref="Q156:T156"/>
    <mergeCell ref="W156:AA156"/>
    <mergeCell ref="AB156:AD156"/>
    <mergeCell ref="AE157:AG157"/>
    <mergeCell ref="AH157:AK157"/>
    <mergeCell ref="AL157:AO157"/>
    <mergeCell ref="B157:F157"/>
    <mergeCell ref="G157:I157"/>
    <mergeCell ref="J157:L157"/>
    <mergeCell ref="M157:P157"/>
    <mergeCell ref="Q157:T157"/>
    <mergeCell ref="W157:AA157"/>
    <mergeCell ref="AB157:AD157"/>
    <mergeCell ref="AE158:AG158"/>
    <mergeCell ref="AH158:AK158"/>
    <mergeCell ref="AL158:AO158"/>
    <mergeCell ref="B158:F158"/>
    <mergeCell ref="G158:I158"/>
    <mergeCell ref="J158:L158"/>
    <mergeCell ref="M158:P158"/>
    <mergeCell ref="Q158:T158"/>
    <mergeCell ref="W158:AA158"/>
    <mergeCell ref="AB158:AD158"/>
    <mergeCell ref="AE159:AG159"/>
    <mergeCell ref="AH159:AK159"/>
    <mergeCell ref="AL159:AO159"/>
    <mergeCell ref="B159:F159"/>
    <mergeCell ref="G159:I159"/>
    <mergeCell ref="J159:L159"/>
    <mergeCell ref="M159:P159"/>
    <mergeCell ref="Q159:T159"/>
    <mergeCell ref="W159:AA159"/>
    <mergeCell ref="AB159:AD159"/>
    <mergeCell ref="AE160:AG160"/>
    <mergeCell ref="AH160:AK160"/>
    <mergeCell ref="AL160:AO160"/>
    <mergeCell ref="B160:F160"/>
    <mergeCell ref="G160:I160"/>
    <mergeCell ref="J160:L160"/>
    <mergeCell ref="M160:P160"/>
    <mergeCell ref="Q160:T160"/>
    <mergeCell ref="W160:AA160"/>
    <mergeCell ref="AB160:AD160"/>
    <mergeCell ref="AE161:AG161"/>
    <mergeCell ref="AH161:AK161"/>
    <mergeCell ref="AL161:AO161"/>
    <mergeCell ref="B161:F161"/>
    <mergeCell ref="G161:I161"/>
    <mergeCell ref="J161:L161"/>
    <mergeCell ref="M161:P161"/>
    <mergeCell ref="Q161:T161"/>
    <mergeCell ref="W161:AA161"/>
    <mergeCell ref="AB161:AD161"/>
    <mergeCell ref="AE162:AG162"/>
    <mergeCell ref="AH162:AK162"/>
    <mergeCell ref="AL162:AO162"/>
    <mergeCell ref="B162:F162"/>
    <mergeCell ref="G162:I162"/>
    <mergeCell ref="J162:L162"/>
    <mergeCell ref="M162:P162"/>
    <mergeCell ref="Q162:T162"/>
    <mergeCell ref="W162:AA162"/>
    <mergeCell ref="AB162:AD162"/>
    <mergeCell ref="AE163:AG163"/>
    <mergeCell ref="AH163:AK163"/>
    <mergeCell ref="AL163:AO163"/>
    <mergeCell ref="B163:F163"/>
    <mergeCell ref="G163:I163"/>
    <mergeCell ref="J163:L163"/>
    <mergeCell ref="M163:P163"/>
    <mergeCell ref="Q163:T163"/>
    <mergeCell ref="W163:AA163"/>
    <mergeCell ref="AB163:AD163"/>
    <mergeCell ref="AE164:AG164"/>
    <mergeCell ref="AH164:AK164"/>
    <mergeCell ref="AL164:AO164"/>
    <mergeCell ref="B164:F164"/>
    <mergeCell ref="G164:I164"/>
    <mergeCell ref="J164:L164"/>
    <mergeCell ref="M164:P164"/>
    <mergeCell ref="Q164:T164"/>
    <mergeCell ref="W164:AA164"/>
    <mergeCell ref="AB164:AD164"/>
    <mergeCell ref="AE165:AG165"/>
    <mergeCell ref="AH165:AK165"/>
    <mergeCell ref="AL165:AO165"/>
    <mergeCell ref="B165:F165"/>
    <mergeCell ref="G165:I165"/>
    <mergeCell ref="J165:L165"/>
    <mergeCell ref="M165:P165"/>
    <mergeCell ref="Q165:T165"/>
    <mergeCell ref="W165:AA165"/>
    <mergeCell ref="AB165:AD165"/>
    <mergeCell ref="AE166:AG166"/>
    <mergeCell ref="AH166:AK166"/>
    <mergeCell ref="AL166:AO166"/>
    <mergeCell ref="B166:F166"/>
    <mergeCell ref="G166:I166"/>
    <mergeCell ref="J166:L166"/>
    <mergeCell ref="M166:P166"/>
    <mergeCell ref="Q166:T166"/>
    <mergeCell ref="W166:AA166"/>
    <mergeCell ref="AB166:AD166"/>
    <mergeCell ref="AE167:AG167"/>
    <mergeCell ref="AH167:AK167"/>
    <mergeCell ref="AL167:AO167"/>
    <mergeCell ref="B167:F167"/>
    <mergeCell ref="G167:I167"/>
    <mergeCell ref="J167:L167"/>
    <mergeCell ref="M167:P167"/>
    <mergeCell ref="Q167:T167"/>
    <mergeCell ref="W167:AA167"/>
    <mergeCell ref="AB167:AD167"/>
    <mergeCell ref="AE168:AG168"/>
    <mergeCell ref="AH168:AK168"/>
    <mergeCell ref="AL168:AO168"/>
    <mergeCell ref="B168:F168"/>
    <mergeCell ref="G168:I168"/>
    <mergeCell ref="J168:L168"/>
    <mergeCell ref="M168:P168"/>
    <mergeCell ref="Q168:T168"/>
    <mergeCell ref="W168:AA168"/>
    <mergeCell ref="AB168:AD168"/>
    <mergeCell ref="AE169:AG169"/>
    <mergeCell ref="AH169:AK169"/>
    <mergeCell ref="AL169:AO169"/>
    <mergeCell ref="B169:F169"/>
    <mergeCell ref="G169:I169"/>
    <mergeCell ref="J169:L169"/>
    <mergeCell ref="M169:P169"/>
    <mergeCell ref="Q169:T169"/>
    <mergeCell ref="W169:AA169"/>
    <mergeCell ref="AB169:AD169"/>
    <mergeCell ref="AE170:AG170"/>
    <mergeCell ref="AH170:AK170"/>
    <mergeCell ref="AL170:AO170"/>
    <mergeCell ref="B170:F170"/>
    <mergeCell ref="G170:I170"/>
    <mergeCell ref="J170:L170"/>
    <mergeCell ref="M170:P170"/>
    <mergeCell ref="Q170:T170"/>
    <mergeCell ref="W170:AA170"/>
    <mergeCell ref="AB170:AD170"/>
    <mergeCell ref="AE171:AG171"/>
    <mergeCell ref="AH171:AK171"/>
    <mergeCell ref="AL171:AO171"/>
    <mergeCell ref="B171:F171"/>
    <mergeCell ref="G171:I171"/>
    <mergeCell ref="J171:L171"/>
    <mergeCell ref="M171:P171"/>
    <mergeCell ref="Q171:T171"/>
    <mergeCell ref="W171:AA171"/>
    <mergeCell ref="AB171:AD171"/>
    <mergeCell ref="AE172:AG172"/>
    <mergeCell ref="AH172:AK172"/>
    <mergeCell ref="AL172:AO172"/>
    <mergeCell ref="B172:F172"/>
    <mergeCell ref="G172:I172"/>
    <mergeCell ref="J172:L172"/>
    <mergeCell ref="M172:P172"/>
    <mergeCell ref="Q172:T172"/>
    <mergeCell ref="W172:AA172"/>
    <mergeCell ref="AB172:AD172"/>
    <mergeCell ref="AE173:AG173"/>
    <mergeCell ref="AH173:AK173"/>
    <mergeCell ref="AL173:AO173"/>
    <mergeCell ref="B173:F173"/>
    <mergeCell ref="G173:I173"/>
    <mergeCell ref="J173:L173"/>
    <mergeCell ref="M173:P173"/>
    <mergeCell ref="Q173:T173"/>
    <mergeCell ref="W173:AA173"/>
    <mergeCell ref="AB173:AD173"/>
    <mergeCell ref="AE174:AG174"/>
    <mergeCell ref="AH174:AK174"/>
    <mergeCell ref="AL174:AO174"/>
    <mergeCell ref="B174:F174"/>
    <mergeCell ref="G174:I174"/>
    <mergeCell ref="J174:L174"/>
    <mergeCell ref="M174:P174"/>
    <mergeCell ref="Q174:T174"/>
    <mergeCell ref="W174:AA174"/>
    <mergeCell ref="AB174:AD174"/>
    <mergeCell ref="AE175:AG175"/>
    <mergeCell ref="AH175:AK175"/>
    <mergeCell ref="AL175:AO175"/>
    <mergeCell ref="B175:F175"/>
    <mergeCell ref="G175:I175"/>
    <mergeCell ref="J175:L175"/>
    <mergeCell ref="M175:P175"/>
    <mergeCell ref="Q175:T175"/>
    <mergeCell ref="W175:AA175"/>
    <mergeCell ref="AB175:AD175"/>
    <mergeCell ref="AE176:AG176"/>
    <mergeCell ref="AH176:AK176"/>
    <mergeCell ref="AL176:AO176"/>
    <mergeCell ref="B176:F176"/>
    <mergeCell ref="G176:I176"/>
    <mergeCell ref="J176:L176"/>
    <mergeCell ref="M176:P176"/>
    <mergeCell ref="Q176:T176"/>
    <mergeCell ref="W176:AA176"/>
    <mergeCell ref="AB176:AD176"/>
    <mergeCell ref="AE177:AG177"/>
    <mergeCell ref="AH177:AK177"/>
    <mergeCell ref="AL177:AO177"/>
    <mergeCell ref="B177:F177"/>
    <mergeCell ref="G177:I177"/>
    <mergeCell ref="J177:L177"/>
    <mergeCell ref="M177:P177"/>
    <mergeCell ref="Q177:T177"/>
    <mergeCell ref="W177:AA177"/>
    <mergeCell ref="AB177:AD177"/>
    <mergeCell ref="AE178:AG178"/>
    <mergeCell ref="AH178:AK178"/>
    <mergeCell ref="AL178:AO178"/>
    <mergeCell ref="B178:F178"/>
    <mergeCell ref="G178:I178"/>
    <mergeCell ref="J178:L178"/>
    <mergeCell ref="M178:P178"/>
    <mergeCell ref="Q178:T178"/>
    <mergeCell ref="W178:AA178"/>
    <mergeCell ref="AB178:AD178"/>
    <mergeCell ref="AE179:AG179"/>
    <mergeCell ref="AH179:AK179"/>
    <mergeCell ref="AL179:AO179"/>
    <mergeCell ref="B179:F179"/>
    <mergeCell ref="G179:I179"/>
    <mergeCell ref="J179:L179"/>
    <mergeCell ref="M179:P179"/>
    <mergeCell ref="Q179:T179"/>
    <mergeCell ref="W179:AA179"/>
    <mergeCell ref="AB179:AD179"/>
    <mergeCell ref="AE180:AG180"/>
    <mergeCell ref="AH180:AK180"/>
    <mergeCell ref="AL180:AO180"/>
    <mergeCell ref="B180:F180"/>
    <mergeCell ref="G180:I180"/>
    <mergeCell ref="J180:L180"/>
    <mergeCell ref="M180:P180"/>
    <mergeCell ref="Q180:T180"/>
    <mergeCell ref="W180:AA180"/>
    <mergeCell ref="AB180:AD180"/>
    <mergeCell ref="AE181:AG181"/>
    <mergeCell ref="AH181:AK181"/>
    <mergeCell ref="AL181:AO181"/>
    <mergeCell ref="B181:F181"/>
    <mergeCell ref="G181:I181"/>
    <mergeCell ref="J181:L181"/>
    <mergeCell ref="M181:P181"/>
    <mergeCell ref="Q181:T181"/>
    <mergeCell ref="W181:AA181"/>
    <mergeCell ref="AB181:AD181"/>
    <mergeCell ref="AE182:AG182"/>
    <mergeCell ref="AH182:AK182"/>
    <mergeCell ref="AL182:AO182"/>
    <mergeCell ref="B182:F182"/>
    <mergeCell ref="G182:I182"/>
    <mergeCell ref="J182:L182"/>
    <mergeCell ref="M182:P182"/>
    <mergeCell ref="Q182:T182"/>
    <mergeCell ref="W182:AA182"/>
    <mergeCell ref="AB182:AD182"/>
    <mergeCell ref="AE183:AG183"/>
    <mergeCell ref="AH183:AK183"/>
    <mergeCell ref="AL183:AO183"/>
    <mergeCell ref="B183:F183"/>
    <mergeCell ref="G183:I183"/>
    <mergeCell ref="J183:L183"/>
    <mergeCell ref="M183:P183"/>
    <mergeCell ref="Q183:T183"/>
    <mergeCell ref="W183:AA183"/>
    <mergeCell ref="AB183:AD183"/>
    <mergeCell ref="AE184:AG184"/>
    <mergeCell ref="AH184:AK184"/>
    <mergeCell ref="AL184:AO184"/>
    <mergeCell ref="B184:F184"/>
    <mergeCell ref="G184:I184"/>
    <mergeCell ref="J184:L184"/>
    <mergeCell ref="M184:P184"/>
    <mergeCell ref="Q184:T184"/>
    <mergeCell ref="W184:AA184"/>
    <mergeCell ref="AB184:AD184"/>
    <mergeCell ref="AE185:AG185"/>
    <mergeCell ref="AH185:AK185"/>
    <mergeCell ref="AL185:AO185"/>
    <mergeCell ref="B185:F185"/>
    <mergeCell ref="G185:I185"/>
    <mergeCell ref="J185:L185"/>
    <mergeCell ref="M185:P185"/>
    <mergeCell ref="Q185:T185"/>
    <mergeCell ref="W185:AA185"/>
    <mergeCell ref="AB185:AD185"/>
    <mergeCell ref="AE186:AG186"/>
    <mergeCell ref="AH186:AK186"/>
    <mergeCell ref="AL186:AO186"/>
    <mergeCell ref="B186:F186"/>
    <mergeCell ref="G186:I186"/>
    <mergeCell ref="J186:L186"/>
    <mergeCell ref="M186:P186"/>
    <mergeCell ref="Q186:T186"/>
    <mergeCell ref="W186:AA186"/>
    <mergeCell ref="AB186:AD186"/>
    <mergeCell ref="AE187:AG187"/>
    <mergeCell ref="AH187:AK187"/>
    <mergeCell ref="AL187:AO187"/>
    <mergeCell ref="B187:F187"/>
    <mergeCell ref="G187:I187"/>
    <mergeCell ref="J187:L187"/>
    <mergeCell ref="M187:P187"/>
    <mergeCell ref="Q187:T187"/>
    <mergeCell ref="W187:AA187"/>
    <mergeCell ref="AB187:AD187"/>
    <mergeCell ref="AE188:AG188"/>
    <mergeCell ref="AH188:AK188"/>
    <mergeCell ref="AL188:AO188"/>
    <mergeCell ref="B188:F188"/>
    <mergeCell ref="G188:I188"/>
    <mergeCell ref="J188:L188"/>
    <mergeCell ref="M188:P188"/>
    <mergeCell ref="Q188:T188"/>
    <mergeCell ref="W188:AA188"/>
    <mergeCell ref="AB188:AD188"/>
    <mergeCell ref="AE189:AG189"/>
    <mergeCell ref="AH189:AK189"/>
    <mergeCell ref="AL189:AO189"/>
    <mergeCell ref="B189:F189"/>
    <mergeCell ref="G189:I189"/>
    <mergeCell ref="J189:L189"/>
    <mergeCell ref="M189:P189"/>
    <mergeCell ref="Q189:T189"/>
    <mergeCell ref="W189:AA189"/>
    <mergeCell ref="AB189:AD189"/>
    <mergeCell ref="AE190:AG190"/>
    <mergeCell ref="AH190:AK190"/>
    <mergeCell ref="AL190:AO190"/>
    <mergeCell ref="B190:F190"/>
    <mergeCell ref="G190:I190"/>
    <mergeCell ref="J190:L190"/>
    <mergeCell ref="M190:P190"/>
    <mergeCell ref="Q190:T190"/>
    <mergeCell ref="W190:AA190"/>
    <mergeCell ref="AB190:AD190"/>
    <mergeCell ref="AE191:AG191"/>
    <mergeCell ref="AH191:AK191"/>
    <mergeCell ref="AL191:AO191"/>
    <mergeCell ref="B191:F191"/>
    <mergeCell ref="G191:I191"/>
    <mergeCell ref="J191:L191"/>
    <mergeCell ref="M191:P191"/>
    <mergeCell ref="Q191:T191"/>
    <mergeCell ref="W191:AA191"/>
    <mergeCell ref="AB191:AD191"/>
    <mergeCell ref="AE192:AG192"/>
    <mergeCell ref="AH192:AK192"/>
    <mergeCell ref="AL192:AO192"/>
    <mergeCell ref="B192:F192"/>
    <mergeCell ref="G192:I192"/>
    <mergeCell ref="J192:L192"/>
    <mergeCell ref="M192:P192"/>
    <mergeCell ref="Q192:T192"/>
    <mergeCell ref="W192:AA192"/>
    <mergeCell ref="AB192:AD192"/>
    <mergeCell ref="AE193:AG193"/>
    <mergeCell ref="AH193:AK193"/>
    <mergeCell ref="AL193:AO193"/>
    <mergeCell ref="B193:F193"/>
    <mergeCell ref="G193:I193"/>
    <mergeCell ref="J193:L193"/>
    <mergeCell ref="M193:P193"/>
    <mergeCell ref="Q193:T193"/>
    <mergeCell ref="W193:AA193"/>
    <mergeCell ref="AB193:AD193"/>
    <mergeCell ref="AE194:AG194"/>
    <mergeCell ref="AH194:AK194"/>
    <mergeCell ref="AL194:AO194"/>
    <mergeCell ref="B194:F194"/>
    <mergeCell ref="G194:I194"/>
    <mergeCell ref="J194:L194"/>
    <mergeCell ref="M194:P194"/>
    <mergeCell ref="Q194:T194"/>
    <mergeCell ref="W194:AA194"/>
    <mergeCell ref="AB194:AD194"/>
    <mergeCell ref="AE195:AG195"/>
    <mergeCell ref="AH195:AK195"/>
    <mergeCell ref="AL195:AO195"/>
    <mergeCell ref="B195:F195"/>
    <mergeCell ref="G195:I195"/>
    <mergeCell ref="J195:L195"/>
    <mergeCell ref="M195:P195"/>
    <mergeCell ref="Q195:T195"/>
    <mergeCell ref="W195:AA195"/>
    <mergeCell ref="AB195:AD195"/>
    <mergeCell ref="AE196:AG196"/>
    <mergeCell ref="AH196:AK196"/>
    <mergeCell ref="AL196:AO196"/>
    <mergeCell ref="B196:F196"/>
    <mergeCell ref="G196:I196"/>
    <mergeCell ref="J196:L196"/>
    <mergeCell ref="M196:P196"/>
    <mergeCell ref="Q196:T196"/>
    <mergeCell ref="W196:AA196"/>
    <mergeCell ref="AB196:AD196"/>
    <mergeCell ref="AE197:AG197"/>
    <mergeCell ref="AH197:AK197"/>
    <mergeCell ref="AL197:AO197"/>
    <mergeCell ref="B197:F197"/>
    <mergeCell ref="G197:I197"/>
    <mergeCell ref="J197:L197"/>
    <mergeCell ref="M197:P197"/>
    <mergeCell ref="Q197:T197"/>
    <mergeCell ref="W197:AA197"/>
    <mergeCell ref="AB197:AD197"/>
    <mergeCell ref="AE198:AG198"/>
    <mergeCell ref="AH198:AK198"/>
    <mergeCell ref="AL198:AO198"/>
    <mergeCell ref="B198:F198"/>
    <mergeCell ref="G198:I198"/>
    <mergeCell ref="J198:L198"/>
    <mergeCell ref="M198:P198"/>
    <mergeCell ref="Q198:T198"/>
    <mergeCell ref="W198:AA198"/>
    <mergeCell ref="AB198:AD198"/>
    <mergeCell ref="AE199:AG199"/>
    <mergeCell ref="AH199:AK199"/>
    <mergeCell ref="AL199:AO199"/>
    <mergeCell ref="B199:F199"/>
    <mergeCell ref="G199:I199"/>
    <mergeCell ref="J199:L199"/>
    <mergeCell ref="M199:P199"/>
    <mergeCell ref="Q199:T199"/>
    <mergeCell ref="W199:AA199"/>
    <mergeCell ref="AB199:AD199"/>
    <mergeCell ref="AE200:AG200"/>
    <mergeCell ref="AH200:AK200"/>
    <mergeCell ref="AL200:AO200"/>
    <mergeCell ref="B200:F200"/>
    <mergeCell ref="G200:I200"/>
    <mergeCell ref="J200:L200"/>
    <mergeCell ref="M200:P200"/>
    <mergeCell ref="Q200:T200"/>
    <mergeCell ref="W200:AA200"/>
    <mergeCell ref="AB200:AD200"/>
    <mergeCell ref="AE201:AG201"/>
    <mergeCell ref="AH201:AK201"/>
    <mergeCell ref="AL201:AO201"/>
    <mergeCell ref="B201:F201"/>
    <mergeCell ref="G201:I201"/>
    <mergeCell ref="J201:L201"/>
    <mergeCell ref="M201:P201"/>
    <mergeCell ref="Q201:T201"/>
    <mergeCell ref="W201:AA201"/>
    <mergeCell ref="AB201:AD201"/>
    <mergeCell ref="AE202:AG202"/>
    <mergeCell ref="AH202:AK202"/>
    <mergeCell ref="AL202:AO202"/>
    <mergeCell ref="B202:F202"/>
    <mergeCell ref="G202:I202"/>
    <mergeCell ref="J202:L202"/>
    <mergeCell ref="M202:P202"/>
    <mergeCell ref="Q202:T202"/>
    <mergeCell ref="W202:AA202"/>
    <mergeCell ref="AB202:AD202"/>
    <mergeCell ref="AE203:AG203"/>
    <mergeCell ref="AH203:AK203"/>
    <mergeCell ref="AL203:AO203"/>
    <mergeCell ref="B203:F203"/>
    <mergeCell ref="G203:I203"/>
    <mergeCell ref="J203:L203"/>
    <mergeCell ref="M203:P203"/>
    <mergeCell ref="Q203:T203"/>
    <mergeCell ref="W203:AA203"/>
    <mergeCell ref="AB203:AD203"/>
    <mergeCell ref="AE204:AG204"/>
    <mergeCell ref="AH204:AK204"/>
    <mergeCell ref="AL204:AO204"/>
    <mergeCell ref="B204:F204"/>
    <mergeCell ref="G204:I204"/>
    <mergeCell ref="J204:L204"/>
    <mergeCell ref="M204:P204"/>
    <mergeCell ref="Q204:T204"/>
    <mergeCell ref="W204:AA204"/>
    <mergeCell ref="AB204:AD204"/>
    <mergeCell ref="AE205:AG205"/>
    <mergeCell ref="AH205:AK205"/>
    <mergeCell ref="AL205:AO205"/>
    <mergeCell ref="B205:F205"/>
    <mergeCell ref="G205:I205"/>
    <mergeCell ref="J205:L205"/>
    <mergeCell ref="M205:P205"/>
    <mergeCell ref="Q205:T205"/>
    <mergeCell ref="W205:AA205"/>
    <mergeCell ref="AB205:AD205"/>
    <mergeCell ref="AE206:AG206"/>
    <mergeCell ref="AH206:AK206"/>
    <mergeCell ref="AL206:AO206"/>
    <mergeCell ref="B206:F206"/>
    <mergeCell ref="G206:I206"/>
    <mergeCell ref="J206:L206"/>
    <mergeCell ref="M206:P206"/>
    <mergeCell ref="Q206:T206"/>
    <mergeCell ref="W206:AA206"/>
    <mergeCell ref="AB206:AD206"/>
    <mergeCell ref="AE207:AG207"/>
    <mergeCell ref="AH207:AK207"/>
    <mergeCell ref="AL207:AO207"/>
    <mergeCell ref="B207:F207"/>
    <mergeCell ref="G207:I207"/>
    <mergeCell ref="J207:L207"/>
    <mergeCell ref="M207:P207"/>
    <mergeCell ref="Q207:T207"/>
    <mergeCell ref="W207:AA207"/>
    <mergeCell ref="AB207:AD207"/>
    <mergeCell ref="AE208:AG208"/>
    <mergeCell ref="AH208:AK208"/>
    <mergeCell ref="AL208:AO208"/>
    <mergeCell ref="B208:F208"/>
    <mergeCell ref="G208:I208"/>
    <mergeCell ref="J208:L208"/>
    <mergeCell ref="M208:P208"/>
    <mergeCell ref="Q208:T208"/>
    <mergeCell ref="W208:AA208"/>
    <mergeCell ref="AB208:AD208"/>
    <mergeCell ref="AE209:AG209"/>
    <mergeCell ref="AH209:AK209"/>
    <mergeCell ref="AL209:AO209"/>
    <mergeCell ref="B209:F209"/>
    <mergeCell ref="G209:I209"/>
    <mergeCell ref="J209:L209"/>
    <mergeCell ref="M209:P209"/>
    <mergeCell ref="Q209:T209"/>
    <mergeCell ref="W209:AA209"/>
    <mergeCell ref="AB209:AD209"/>
    <mergeCell ref="AE210:AG210"/>
    <mergeCell ref="AH210:AK210"/>
    <mergeCell ref="AL210:AO210"/>
    <mergeCell ref="B210:F210"/>
    <mergeCell ref="G210:I210"/>
    <mergeCell ref="J210:L210"/>
    <mergeCell ref="M210:P210"/>
    <mergeCell ref="Q210:T210"/>
    <mergeCell ref="W210:AA210"/>
    <mergeCell ref="AB210:AD210"/>
    <mergeCell ref="AE211:AG211"/>
    <mergeCell ref="AH211:AK211"/>
    <mergeCell ref="AL211:AO211"/>
    <mergeCell ref="B211:F211"/>
    <mergeCell ref="G211:I211"/>
    <mergeCell ref="J211:L211"/>
    <mergeCell ref="M211:P211"/>
    <mergeCell ref="Q211:T211"/>
    <mergeCell ref="W211:AA211"/>
    <mergeCell ref="AB211:AD211"/>
    <mergeCell ref="AE212:AG212"/>
    <mergeCell ref="AH212:AK212"/>
    <mergeCell ref="AL212:AO212"/>
    <mergeCell ref="B212:F212"/>
    <mergeCell ref="G212:I212"/>
    <mergeCell ref="J212:L212"/>
    <mergeCell ref="M212:P212"/>
    <mergeCell ref="Q212:T212"/>
    <mergeCell ref="W212:AA212"/>
    <mergeCell ref="AB212:AD212"/>
    <mergeCell ref="AE213:AG213"/>
    <mergeCell ref="AH213:AK213"/>
    <mergeCell ref="AL213:AO213"/>
    <mergeCell ref="B213:F213"/>
    <mergeCell ref="G213:I213"/>
    <mergeCell ref="J213:L213"/>
    <mergeCell ref="M213:P213"/>
    <mergeCell ref="Q213:T213"/>
    <mergeCell ref="W213:AA213"/>
    <mergeCell ref="AB213:AD213"/>
    <mergeCell ref="AE214:AG214"/>
    <mergeCell ref="AH214:AK214"/>
    <mergeCell ref="AL214:AO214"/>
    <mergeCell ref="B214:F214"/>
    <mergeCell ref="G214:I214"/>
    <mergeCell ref="J214:L214"/>
    <mergeCell ref="M214:P214"/>
    <mergeCell ref="Q214:T214"/>
    <mergeCell ref="W214:AA214"/>
    <mergeCell ref="AB214:AD214"/>
    <mergeCell ref="AE215:AG215"/>
    <mergeCell ref="AH215:AK215"/>
    <mergeCell ref="AL215:AO215"/>
    <mergeCell ref="B215:F215"/>
    <mergeCell ref="G215:I215"/>
    <mergeCell ref="J215:L215"/>
    <mergeCell ref="M215:P215"/>
    <mergeCell ref="Q215:T215"/>
    <mergeCell ref="W215:AA215"/>
    <mergeCell ref="AB215:AD215"/>
    <mergeCell ref="AE216:AG216"/>
    <mergeCell ref="AH216:AK216"/>
    <mergeCell ref="AL216:AO216"/>
    <mergeCell ref="B216:F216"/>
    <mergeCell ref="G216:I216"/>
    <mergeCell ref="J216:L216"/>
    <mergeCell ref="M216:P216"/>
    <mergeCell ref="Q216:T216"/>
    <mergeCell ref="W216:AA216"/>
    <mergeCell ref="AB216:AD216"/>
    <mergeCell ref="AE217:AG217"/>
    <mergeCell ref="AH217:AK217"/>
    <mergeCell ref="AL217:AO217"/>
    <mergeCell ref="B217:F217"/>
    <mergeCell ref="G217:I217"/>
    <mergeCell ref="J217:L217"/>
    <mergeCell ref="M217:P217"/>
    <mergeCell ref="Q217:T217"/>
    <mergeCell ref="W217:AA217"/>
    <mergeCell ref="AB217:AD217"/>
    <mergeCell ref="AE218:AG218"/>
    <mergeCell ref="AH218:AK218"/>
    <mergeCell ref="AL218:AO218"/>
    <mergeCell ref="B218:F218"/>
    <mergeCell ref="G218:I218"/>
    <mergeCell ref="J218:L218"/>
    <mergeCell ref="M218:P218"/>
    <mergeCell ref="Q218:T218"/>
    <mergeCell ref="W218:AA218"/>
    <mergeCell ref="AB218:AD218"/>
    <mergeCell ref="AE219:AG219"/>
    <mergeCell ref="AH219:AK219"/>
    <mergeCell ref="AL219:AO219"/>
    <mergeCell ref="B219:F219"/>
    <mergeCell ref="G219:I219"/>
    <mergeCell ref="J219:L219"/>
    <mergeCell ref="M219:P219"/>
    <mergeCell ref="Q219:T219"/>
    <mergeCell ref="W219:AA219"/>
    <mergeCell ref="AB219:AD219"/>
    <mergeCell ref="AE220:AG220"/>
    <mergeCell ref="AH220:AK220"/>
    <mergeCell ref="AL220:AO220"/>
    <mergeCell ref="B220:F220"/>
    <mergeCell ref="G220:I220"/>
    <mergeCell ref="J220:L220"/>
    <mergeCell ref="M220:P220"/>
    <mergeCell ref="Q220:T220"/>
    <mergeCell ref="W220:AA220"/>
    <mergeCell ref="AB220:AD220"/>
    <mergeCell ref="AE221:AG221"/>
    <mergeCell ref="AH221:AK221"/>
    <mergeCell ref="AL221:AO221"/>
    <mergeCell ref="B221:F221"/>
    <mergeCell ref="G221:I221"/>
    <mergeCell ref="J221:L221"/>
    <mergeCell ref="M221:P221"/>
    <mergeCell ref="Q221:T221"/>
    <mergeCell ref="W221:AA221"/>
    <mergeCell ref="AB221:AD221"/>
    <mergeCell ref="AE222:AG222"/>
    <mergeCell ref="AH222:AK222"/>
    <mergeCell ref="AL222:AO222"/>
    <mergeCell ref="B222:F222"/>
    <mergeCell ref="G222:I222"/>
    <mergeCell ref="J222:L222"/>
    <mergeCell ref="M222:P222"/>
    <mergeCell ref="Q222:T222"/>
    <mergeCell ref="W222:AA222"/>
    <mergeCell ref="AB222:AD222"/>
    <mergeCell ref="AE223:AG223"/>
    <mergeCell ref="AH223:AK223"/>
    <mergeCell ref="AL223:AO223"/>
    <mergeCell ref="B223:F223"/>
    <mergeCell ref="G223:I223"/>
    <mergeCell ref="J223:L223"/>
    <mergeCell ref="M223:P223"/>
    <mergeCell ref="Q223:T223"/>
    <mergeCell ref="W223:AA223"/>
    <mergeCell ref="AB223:AD223"/>
    <mergeCell ref="AE224:AG224"/>
    <mergeCell ref="AH224:AK224"/>
    <mergeCell ref="AL224:AO224"/>
    <mergeCell ref="B224:F224"/>
    <mergeCell ref="G224:I224"/>
    <mergeCell ref="J224:L224"/>
    <mergeCell ref="M224:P224"/>
    <mergeCell ref="Q224:T224"/>
    <mergeCell ref="W224:AA224"/>
    <mergeCell ref="AB224:AD224"/>
    <mergeCell ref="AE274:AG274"/>
    <mergeCell ref="AH274:AK274"/>
    <mergeCell ref="AL274:AO274"/>
    <mergeCell ref="B274:F274"/>
    <mergeCell ref="G274:I274"/>
    <mergeCell ref="J274:L274"/>
    <mergeCell ref="M274:P274"/>
    <mergeCell ref="Q274:T274"/>
    <mergeCell ref="W274:AA274"/>
    <mergeCell ref="AB274:AD274"/>
    <mergeCell ref="AE275:AG275"/>
    <mergeCell ref="AH275:AK275"/>
    <mergeCell ref="AL275:AO275"/>
    <mergeCell ref="B275:F275"/>
    <mergeCell ref="G275:I275"/>
    <mergeCell ref="J275:L275"/>
    <mergeCell ref="M275:P275"/>
    <mergeCell ref="Q275:T275"/>
    <mergeCell ref="W275:AA275"/>
    <mergeCell ref="AB275:AD275"/>
    <mergeCell ref="AE276:AG276"/>
    <mergeCell ref="AH276:AK276"/>
    <mergeCell ref="AL276:AO276"/>
    <mergeCell ref="B276:F276"/>
    <mergeCell ref="G276:I276"/>
    <mergeCell ref="J276:L276"/>
    <mergeCell ref="M276:P276"/>
    <mergeCell ref="Q276:T276"/>
    <mergeCell ref="W276:AA276"/>
    <mergeCell ref="AB276:AD276"/>
    <mergeCell ref="AE277:AG277"/>
    <mergeCell ref="AH277:AK277"/>
    <mergeCell ref="AL277:AO277"/>
    <mergeCell ref="B277:F277"/>
    <mergeCell ref="G277:I277"/>
    <mergeCell ref="J277:L277"/>
    <mergeCell ref="M277:P277"/>
    <mergeCell ref="Q277:T277"/>
    <mergeCell ref="W277:AA277"/>
    <mergeCell ref="AB277:AD277"/>
    <mergeCell ref="AE278:AG278"/>
    <mergeCell ref="AH278:AK278"/>
    <mergeCell ref="AL278:AO278"/>
    <mergeCell ref="B278:F278"/>
    <mergeCell ref="G278:I278"/>
    <mergeCell ref="J278:L278"/>
    <mergeCell ref="M278:P278"/>
    <mergeCell ref="Q278:T278"/>
    <mergeCell ref="W278:AA278"/>
    <mergeCell ref="AB278:AD278"/>
    <mergeCell ref="AE279:AG279"/>
    <mergeCell ref="AH279:AK279"/>
    <mergeCell ref="AL279:AO279"/>
    <mergeCell ref="B279:F279"/>
    <mergeCell ref="G279:I279"/>
    <mergeCell ref="J279:L279"/>
    <mergeCell ref="M279:P279"/>
    <mergeCell ref="Q279:T279"/>
    <mergeCell ref="W279:AA279"/>
    <mergeCell ref="AB279:AD279"/>
    <mergeCell ref="AE280:AG280"/>
    <mergeCell ref="AH280:AK280"/>
    <mergeCell ref="AL280:AO280"/>
    <mergeCell ref="B280:F280"/>
    <mergeCell ref="G280:I280"/>
    <mergeCell ref="J280:L280"/>
    <mergeCell ref="M280:P280"/>
    <mergeCell ref="Q280:T280"/>
    <mergeCell ref="W280:AA280"/>
    <mergeCell ref="AB280:AD280"/>
    <mergeCell ref="AE29:AG29"/>
    <mergeCell ref="AE31:AG31"/>
    <mergeCell ref="AH31:AK31"/>
    <mergeCell ref="AL31:AO31"/>
    <mergeCell ref="AE32:AG32"/>
    <mergeCell ref="AH32:AK32"/>
    <mergeCell ref="AE28:AG28"/>
    <mergeCell ref="AH28:AK28"/>
    <mergeCell ref="AL28:AO28"/>
    <mergeCell ref="AR28:AY32"/>
    <mergeCell ref="AH29:AK29"/>
    <mergeCell ref="AL29:AO29"/>
    <mergeCell ref="AL30:AO30"/>
    <mergeCell ref="AL32:AO32"/>
    <mergeCell ref="AE288:AG288"/>
    <mergeCell ref="AH288:AK288"/>
    <mergeCell ref="AL288:AO288"/>
    <mergeCell ref="B288:F288"/>
    <mergeCell ref="G288:I288"/>
    <mergeCell ref="J288:L288"/>
    <mergeCell ref="M288:P288"/>
    <mergeCell ref="Q288:T288"/>
    <mergeCell ref="W288:AA288"/>
    <mergeCell ref="AB288:AD288"/>
    <mergeCell ref="AE289:AG289"/>
    <mergeCell ref="AH289:AK289"/>
    <mergeCell ref="AL289:AO289"/>
    <mergeCell ref="B289:F289"/>
    <mergeCell ref="G289:I289"/>
    <mergeCell ref="J289:L289"/>
    <mergeCell ref="M289:P289"/>
    <mergeCell ref="Q289:T289"/>
    <mergeCell ref="W289:AA289"/>
    <mergeCell ref="AB289:AD289"/>
    <mergeCell ref="AE290:AG290"/>
    <mergeCell ref="AH290:AK290"/>
    <mergeCell ref="AL290:AO290"/>
    <mergeCell ref="B290:F290"/>
    <mergeCell ref="G290:I290"/>
    <mergeCell ref="J290:L290"/>
    <mergeCell ref="M290:P290"/>
    <mergeCell ref="Q290:T290"/>
    <mergeCell ref="W290:AA290"/>
    <mergeCell ref="AB290:AD290"/>
    <mergeCell ref="AE291:AG291"/>
    <mergeCell ref="AH291:AK291"/>
    <mergeCell ref="AL291:AO291"/>
    <mergeCell ref="B291:F291"/>
    <mergeCell ref="G291:I291"/>
    <mergeCell ref="J291:L291"/>
    <mergeCell ref="M291:P291"/>
    <mergeCell ref="Q291:T291"/>
    <mergeCell ref="W291:AA291"/>
    <mergeCell ref="AB291:AD291"/>
    <mergeCell ref="AE27:AG27"/>
    <mergeCell ref="AH27:AK27"/>
    <mergeCell ref="AL27:AO27"/>
    <mergeCell ref="AR27:AY27"/>
    <mergeCell ref="B27:F27"/>
    <mergeCell ref="G27:I27"/>
    <mergeCell ref="J27:L27"/>
    <mergeCell ref="M27:P27"/>
    <mergeCell ref="Q27:T27"/>
    <mergeCell ref="W27:AA27"/>
    <mergeCell ref="AB27:AD27"/>
    <mergeCell ref="B28:F28"/>
    <mergeCell ref="G28:I28"/>
    <mergeCell ref="J28:L28"/>
    <mergeCell ref="M28:P28"/>
    <mergeCell ref="Q28:T28"/>
    <mergeCell ref="W28:AA28"/>
    <mergeCell ref="AB28:AD28"/>
    <mergeCell ref="B29:F29"/>
    <mergeCell ref="G29:I29"/>
    <mergeCell ref="J29:L29"/>
    <mergeCell ref="M29:P29"/>
    <mergeCell ref="Q29:T29"/>
    <mergeCell ref="W29:AA29"/>
    <mergeCell ref="AB29:AD29"/>
    <mergeCell ref="AE30:AG30"/>
    <mergeCell ref="AH30:AK30"/>
    <mergeCell ref="B30:F30"/>
    <mergeCell ref="G30:I30"/>
    <mergeCell ref="J30:L30"/>
    <mergeCell ref="M30:P30"/>
    <mergeCell ref="Q30:T30"/>
    <mergeCell ref="W30:AA30"/>
    <mergeCell ref="AB30:AD30"/>
    <mergeCell ref="AE292:AG292"/>
    <mergeCell ref="AH292:AK292"/>
    <mergeCell ref="AL292:AO292"/>
    <mergeCell ref="AE293:AG293"/>
    <mergeCell ref="B292:F292"/>
    <mergeCell ref="G292:I292"/>
    <mergeCell ref="J292:L292"/>
    <mergeCell ref="M292:P292"/>
    <mergeCell ref="Q292:T292"/>
    <mergeCell ref="W292:AA292"/>
    <mergeCell ref="AB292:AD292"/>
    <mergeCell ref="AE281:AG281"/>
    <mergeCell ref="AH281:AK281"/>
    <mergeCell ref="AL281:AO281"/>
    <mergeCell ref="B281:F281"/>
    <mergeCell ref="G281:I281"/>
    <mergeCell ref="J281:L281"/>
    <mergeCell ref="M281:P281"/>
    <mergeCell ref="Q281:T281"/>
    <mergeCell ref="W281:AA281"/>
    <mergeCell ref="AB281:AD281"/>
    <mergeCell ref="AE282:AG282"/>
    <mergeCell ref="AH282:AK282"/>
    <mergeCell ref="AL282:AO282"/>
    <mergeCell ref="B282:F282"/>
    <mergeCell ref="G282:I282"/>
    <mergeCell ref="J282:L282"/>
    <mergeCell ref="M282:P282"/>
    <mergeCell ref="Q282:T282"/>
    <mergeCell ref="W282:AA282"/>
    <mergeCell ref="AB282:AD282"/>
    <mergeCell ref="AE283:AG283"/>
    <mergeCell ref="AH283:AK283"/>
    <mergeCell ref="AL283:AO283"/>
    <mergeCell ref="B283:F283"/>
    <mergeCell ref="G283:I283"/>
    <mergeCell ref="J283:L283"/>
    <mergeCell ref="M283:P283"/>
    <mergeCell ref="Q283:T283"/>
    <mergeCell ref="W283:AA283"/>
    <mergeCell ref="AB283:AD283"/>
    <mergeCell ref="AE284:AG284"/>
    <mergeCell ref="AH284:AK284"/>
    <mergeCell ref="AL284:AO284"/>
    <mergeCell ref="B284:F284"/>
    <mergeCell ref="G284:I284"/>
    <mergeCell ref="J284:L284"/>
    <mergeCell ref="M284:P284"/>
    <mergeCell ref="Q284:T284"/>
    <mergeCell ref="W284:AA284"/>
    <mergeCell ref="AB284:AD284"/>
    <mergeCell ref="AE285:AG285"/>
    <mergeCell ref="AH285:AK285"/>
    <mergeCell ref="AL285:AO285"/>
    <mergeCell ref="B285:F285"/>
    <mergeCell ref="G285:I285"/>
    <mergeCell ref="J285:L285"/>
    <mergeCell ref="M285:P285"/>
    <mergeCell ref="Q285:T285"/>
    <mergeCell ref="W285:AA285"/>
    <mergeCell ref="AB285:AD285"/>
    <mergeCell ref="AE286:AG286"/>
    <mergeCell ref="AH286:AK286"/>
    <mergeCell ref="AL286:AO286"/>
    <mergeCell ref="B286:F286"/>
    <mergeCell ref="G286:I286"/>
    <mergeCell ref="J286:L286"/>
    <mergeCell ref="M286:P286"/>
    <mergeCell ref="Q286:T286"/>
    <mergeCell ref="W286:AA286"/>
    <mergeCell ref="AB286:AD286"/>
    <mergeCell ref="AE287:AG287"/>
    <mergeCell ref="AH287:AK287"/>
    <mergeCell ref="AL287:AO287"/>
    <mergeCell ref="B287:F287"/>
    <mergeCell ref="G287:I287"/>
    <mergeCell ref="J287:L287"/>
    <mergeCell ref="M287:P287"/>
    <mergeCell ref="Q287:T287"/>
    <mergeCell ref="W287:AA287"/>
    <mergeCell ref="AB287:AD287"/>
    <mergeCell ref="AE225:AG225"/>
    <mergeCell ref="AH225:AK225"/>
    <mergeCell ref="AL225:AO225"/>
    <mergeCell ref="B225:F225"/>
    <mergeCell ref="G225:I225"/>
    <mergeCell ref="J225:L225"/>
    <mergeCell ref="M225:P225"/>
    <mergeCell ref="Q225:T225"/>
    <mergeCell ref="W225:AA225"/>
    <mergeCell ref="AB225:AD225"/>
    <mergeCell ref="AE226:AG226"/>
    <mergeCell ref="AH226:AK226"/>
    <mergeCell ref="AL226:AO226"/>
    <mergeCell ref="B226:F226"/>
    <mergeCell ref="G226:I226"/>
    <mergeCell ref="J226:L226"/>
    <mergeCell ref="M226:P226"/>
    <mergeCell ref="Q226:T226"/>
    <mergeCell ref="W226:AA226"/>
    <mergeCell ref="AB226:AD226"/>
    <mergeCell ref="AE227:AG227"/>
    <mergeCell ref="AH227:AK227"/>
    <mergeCell ref="AL227:AO227"/>
    <mergeCell ref="B227:F227"/>
    <mergeCell ref="G227:I227"/>
    <mergeCell ref="J227:L227"/>
    <mergeCell ref="M227:P227"/>
    <mergeCell ref="Q227:T227"/>
    <mergeCell ref="W227:AA227"/>
    <mergeCell ref="AB227:AD227"/>
    <mergeCell ref="AE228:AG228"/>
    <mergeCell ref="AH228:AK228"/>
    <mergeCell ref="AL228:AO228"/>
    <mergeCell ref="B228:F228"/>
    <mergeCell ref="G228:I228"/>
    <mergeCell ref="J228:L228"/>
    <mergeCell ref="M228:P228"/>
    <mergeCell ref="Q228:T228"/>
    <mergeCell ref="W228:AA228"/>
    <mergeCell ref="AB228:AD228"/>
    <mergeCell ref="AE229:AG229"/>
    <mergeCell ref="AH229:AK229"/>
    <mergeCell ref="AL229:AO229"/>
    <mergeCell ref="B229:F229"/>
    <mergeCell ref="G229:I229"/>
    <mergeCell ref="J229:L229"/>
    <mergeCell ref="M229:P229"/>
    <mergeCell ref="Q229:T229"/>
    <mergeCell ref="W229:AA229"/>
    <mergeCell ref="AB229:AD229"/>
    <mergeCell ref="AE230:AG230"/>
    <mergeCell ref="AH230:AK230"/>
    <mergeCell ref="AL230:AO230"/>
    <mergeCell ref="B230:F230"/>
    <mergeCell ref="G230:I230"/>
    <mergeCell ref="J230:L230"/>
    <mergeCell ref="M230:P230"/>
    <mergeCell ref="Q230:T230"/>
    <mergeCell ref="W230:AA230"/>
    <mergeCell ref="AB230:AD230"/>
    <mergeCell ref="AE231:AG231"/>
    <mergeCell ref="AH231:AK231"/>
    <mergeCell ref="AL231:AO231"/>
    <mergeCell ref="B231:F231"/>
    <mergeCell ref="G231:I231"/>
    <mergeCell ref="J231:L231"/>
    <mergeCell ref="M231:P231"/>
    <mergeCell ref="Q231:T231"/>
    <mergeCell ref="W231:AA231"/>
    <mergeCell ref="AB231:AD231"/>
    <mergeCell ref="AE232:AG232"/>
    <mergeCell ref="AH232:AK232"/>
    <mergeCell ref="AL232:AO232"/>
    <mergeCell ref="B232:F232"/>
    <mergeCell ref="G232:I232"/>
    <mergeCell ref="J232:L232"/>
    <mergeCell ref="M232:P232"/>
    <mergeCell ref="Q232:T232"/>
    <mergeCell ref="W232:AA232"/>
    <mergeCell ref="AB232:AD232"/>
    <mergeCell ref="AE233:AG233"/>
    <mergeCell ref="AH233:AK233"/>
    <mergeCell ref="AL233:AO233"/>
    <mergeCell ref="B233:F233"/>
    <mergeCell ref="G233:I233"/>
    <mergeCell ref="J233:L233"/>
    <mergeCell ref="M233:P233"/>
    <mergeCell ref="Q233:T233"/>
    <mergeCell ref="W233:AA233"/>
    <mergeCell ref="AB233:AD233"/>
    <mergeCell ref="AE234:AG234"/>
    <mergeCell ref="AH234:AK234"/>
    <mergeCell ref="AL234:AO234"/>
    <mergeCell ref="B234:F234"/>
    <mergeCell ref="G234:I234"/>
    <mergeCell ref="J234:L234"/>
    <mergeCell ref="M234:P234"/>
    <mergeCell ref="Q234:T234"/>
    <mergeCell ref="W234:AA234"/>
    <mergeCell ref="AB234:AD234"/>
    <mergeCell ref="AE235:AG235"/>
    <mergeCell ref="AH235:AK235"/>
    <mergeCell ref="AL235:AO235"/>
    <mergeCell ref="B235:F235"/>
    <mergeCell ref="G235:I235"/>
    <mergeCell ref="J235:L235"/>
    <mergeCell ref="M235:P235"/>
    <mergeCell ref="Q235:T235"/>
    <mergeCell ref="W235:AA235"/>
    <mergeCell ref="AB235:AD235"/>
    <mergeCell ref="AE236:AG236"/>
    <mergeCell ref="AH236:AK236"/>
    <mergeCell ref="AL236:AO236"/>
    <mergeCell ref="B236:F236"/>
    <mergeCell ref="G236:I236"/>
    <mergeCell ref="J236:L236"/>
    <mergeCell ref="M236:P236"/>
    <mergeCell ref="Q236:T236"/>
    <mergeCell ref="W236:AA236"/>
    <mergeCell ref="AB236:AD236"/>
    <mergeCell ref="AE237:AG237"/>
    <mergeCell ref="AH237:AK237"/>
    <mergeCell ref="AL237:AO237"/>
    <mergeCell ref="B237:F237"/>
    <mergeCell ref="G237:I237"/>
    <mergeCell ref="J237:L237"/>
    <mergeCell ref="M237:P237"/>
    <mergeCell ref="Q237:T237"/>
    <mergeCell ref="W237:AA237"/>
    <mergeCell ref="AB237:AD237"/>
    <mergeCell ref="AE238:AG238"/>
    <mergeCell ref="AH238:AK238"/>
    <mergeCell ref="AL238:AO238"/>
    <mergeCell ref="B238:F238"/>
    <mergeCell ref="G238:I238"/>
    <mergeCell ref="J238:L238"/>
    <mergeCell ref="M238:P238"/>
    <mergeCell ref="Q238:T238"/>
    <mergeCell ref="W238:AA238"/>
    <mergeCell ref="AB238:AD238"/>
    <mergeCell ref="AE239:AG239"/>
    <mergeCell ref="AH239:AK239"/>
    <mergeCell ref="AL239:AO239"/>
    <mergeCell ref="B239:F239"/>
    <mergeCell ref="G239:I239"/>
    <mergeCell ref="J239:L239"/>
    <mergeCell ref="M239:P239"/>
    <mergeCell ref="Q239:T239"/>
    <mergeCell ref="W239:AA239"/>
    <mergeCell ref="AB239:AD239"/>
    <mergeCell ref="AE240:AG240"/>
    <mergeCell ref="AH240:AK240"/>
    <mergeCell ref="AL240:AO240"/>
    <mergeCell ref="B240:F240"/>
    <mergeCell ref="G240:I240"/>
    <mergeCell ref="J240:L240"/>
    <mergeCell ref="M240:P240"/>
    <mergeCell ref="Q240:T240"/>
    <mergeCell ref="W240:AA240"/>
    <mergeCell ref="AB240:AD240"/>
    <mergeCell ref="AE241:AG241"/>
    <mergeCell ref="AH241:AK241"/>
    <mergeCell ref="AL241:AO241"/>
    <mergeCell ref="B241:F241"/>
    <mergeCell ref="G241:I241"/>
    <mergeCell ref="J241:L241"/>
    <mergeCell ref="M241:P241"/>
    <mergeCell ref="Q241:T241"/>
    <mergeCell ref="W241:AA241"/>
    <mergeCell ref="AB241:AD241"/>
    <mergeCell ref="AE242:AG242"/>
    <mergeCell ref="AH242:AK242"/>
    <mergeCell ref="AL242:AO242"/>
    <mergeCell ref="B242:F242"/>
    <mergeCell ref="G242:I242"/>
    <mergeCell ref="J242:L242"/>
    <mergeCell ref="M242:P242"/>
    <mergeCell ref="Q242:T242"/>
    <mergeCell ref="W242:AA242"/>
    <mergeCell ref="AB242:AD242"/>
    <mergeCell ref="AE243:AG243"/>
    <mergeCell ref="AH243:AK243"/>
    <mergeCell ref="AL243:AO243"/>
    <mergeCell ref="B243:F243"/>
    <mergeCell ref="G243:I243"/>
    <mergeCell ref="J243:L243"/>
    <mergeCell ref="M243:P243"/>
    <mergeCell ref="Q243:T243"/>
    <mergeCell ref="W243:AA243"/>
    <mergeCell ref="AB243:AD243"/>
    <mergeCell ref="AE244:AG244"/>
    <mergeCell ref="AH244:AK244"/>
    <mergeCell ref="AL244:AO244"/>
    <mergeCell ref="B244:F244"/>
    <mergeCell ref="G244:I244"/>
    <mergeCell ref="J244:L244"/>
    <mergeCell ref="M244:P244"/>
    <mergeCell ref="Q244:T244"/>
    <mergeCell ref="W244:AA244"/>
    <mergeCell ref="AB244:AD244"/>
    <mergeCell ref="AE245:AG245"/>
    <mergeCell ref="AH245:AK245"/>
    <mergeCell ref="AL245:AO245"/>
    <mergeCell ref="B245:F245"/>
    <mergeCell ref="G245:I245"/>
    <mergeCell ref="J245:L245"/>
    <mergeCell ref="M245:P245"/>
    <mergeCell ref="Q245:T245"/>
    <mergeCell ref="W245:AA245"/>
    <mergeCell ref="AB245:AD245"/>
    <mergeCell ref="AE246:AG246"/>
    <mergeCell ref="AH246:AK246"/>
    <mergeCell ref="AL246:AO246"/>
    <mergeCell ref="B246:F246"/>
    <mergeCell ref="G246:I246"/>
    <mergeCell ref="J246:L246"/>
    <mergeCell ref="M246:P246"/>
    <mergeCell ref="Q246:T246"/>
    <mergeCell ref="W246:AA246"/>
    <mergeCell ref="AB246:AD246"/>
    <mergeCell ref="AE247:AG247"/>
    <mergeCell ref="AH247:AK247"/>
    <mergeCell ref="AL247:AO247"/>
    <mergeCell ref="B247:F247"/>
    <mergeCell ref="G247:I247"/>
    <mergeCell ref="J247:L247"/>
    <mergeCell ref="M247:P247"/>
    <mergeCell ref="Q247:T247"/>
    <mergeCell ref="W247:AA247"/>
    <mergeCell ref="AB247:AD247"/>
    <mergeCell ref="AE248:AG248"/>
    <mergeCell ref="AH248:AK248"/>
    <mergeCell ref="AL248:AO248"/>
    <mergeCell ref="B248:F248"/>
    <mergeCell ref="G248:I248"/>
    <mergeCell ref="J248:L248"/>
    <mergeCell ref="M248:P248"/>
    <mergeCell ref="Q248:T248"/>
    <mergeCell ref="W248:AA248"/>
    <mergeCell ref="AB248:AD248"/>
    <mergeCell ref="AE249:AG249"/>
    <mergeCell ref="AH249:AK249"/>
    <mergeCell ref="AL249:AO249"/>
    <mergeCell ref="B249:F249"/>
    <mergeCell ref="G249:I249"/>
    <mergeCell ref="J249:L249"/>
    <mergeCell ref="M249:P249"/>
    <mergeCell ref="Q249:T249"/>
    <mergeCell ref="W249:AA249"/>
    <mergeCell ref="AB249:AD249"/>
    <mergeCell ref="AE250:AG250"/>
    <mergeCell ref="AH250:AK250"/>
    <mergeCell ref="AL250:AO250"/>
    <mergeCell ref="B250:F250"/>
    <mergeCell ref="G250:I250"/>
    <mergeCell ref="J250:L250"/>
    <mergeCell ref="M250:P250"/>
    <mergeCell ref="Q250:T250"/>
    <mergeCell ref="W250:AA250"/>
    <mergeCell ref="AB250:AD250"/>
    <mergeCell ref="AE251:AG251"/>
    <mergeCell ref="AH251:AK251"/>
    <mergeCell ref="AL251:AO251"/>
    <mergeCell ref="B251:F251"/>
    <mergeCell ref="G251:I251"/>
    <mergeCell ref="J251:L251"/>
    <mergeCell ref="M251:P251"/>
    <mergeCell ref="Q251:T251"/>
    <mergeCell ref="W251:AA251"/>
    <mergeCell ref="AB251:AD251"/>
    <mergeCell ref="AE252:AG252"/>
    <mergeCell ref="AH252:AK252"/>
    <mergeCell ref="AL252:AO252"/>
    <mergeCell ref="B252:F252"/>
    <mergeCell ref="G252:I252"/>
    <mergeCell ref="J252:L252"/>
    <mergeCell ref="M252:P252"/>
    <mergeCell ref="Q252:T252"/>
    <mergeCell ref="W252:AA252"/>
    <mergeCell ref="AB252:AD252"/>
    <mergeCell ref="AE253:AG253"/>
    <mergeCell ref="AH253:AK253"/>
    <mergeCell ref="AL253:AO253"/>
    <mergeCell ref="B253:F253"/>
    <mergeCell ref="G253:I253"/>
    <mergeCell ref="J253:L253"/>
    <mergeCell ref="M253:P253"/>
    <mergeCell ref="Q253:T253"/>
    <mergeCell ref="W253:AA253"/>
    <mergeCell ref="AB253:AD253"/>
    <mergeCell ref="AE254:AG254"/>
    <mergeCell ref="AH254:AK254"/>
    <mergeCell ref="AL254:AO254"/>
    <mergeCell ref="B254:F254"/>
    <mergeCell ref="G254:I254"/>
    <mergeCell ref="J254:L254"/>
    <mergeCell ref="M254:P254"/>
    <mergeCell ref="Q254:T254"/>
    <mergeCell ref="W254:AA254"/>
    <mergeCell ref="AB254:AD254"/>
    <mergeCell ref="AE255:AG255"/>
    <mergeCell ref="AH255:AK255"/>
    <mergeCell ref="AL255:AO255"/>
    <mergeCell ref="B255:F255"/>
    <mergeCell ref="G255:I255"/>
    <mergeCell ref="J255:L255"/>
    <mergeCell ref="M255:P255"/>
    <mergeCell ref="Q255:T255"/>
    <mergeCell ref="W255:AA255"/>
    <mergeCell ref="AB255:AD255"/>
    <mergeCell ref="AE256:AG256"/>
    <mergeCell ref="AH256:AK256"/>
    <mergeCell ref="AL256:AO256"/>
    <mergeCell ref="B256:F256"/>
    <mergeCell ref="G256:I256"/>
    <mergeCell ref="J256:L256"/>
    <mergeCell ref="M256:P256"/>
    <mergeCell ref="Q256:T256"/>
    <mergeCell ref="W256:AA256"/>
    <mergeCell ref="AB256:AD256"/>
    <mergeCell ref="AE257:AG257"/>
    <mergeCell ref="AH257:AK257"/>
    <mergeCell ref="AL257:AO257"/>
    <mergeCell ref="B257:F257"/>
    <mergeCell ref="G257:I257"/>
    <mergeCell ref="J257:L257"/>
    <mergeCell ref="M257:P257"/>
    <mergeCell ref="Q257:T257"/>
    <mergeCell ref="W257:AA257"/>
    <mergeCell ref="AB257:AD257"/>
    <mergeCell ref="AE258:AG258"/>
    <mergeCell ref="AH258:AK258"/>
    <mergeCell ref="AL258:AO258"/>
    <mergeCell ref="B258:F258"/>
    <mergeCell ref="G258:I258"/>
    <mergeCell ref="J258:L258"/>
    <mergeCell ref="M258:P258"/>
    <mergeCell ref="Q258:T258"/>
    <mergeCell ref="W258:AA258"/>
    <mergeCell ref="AB258:AD258"/>
    <mergeCell ref="AE259:AG259"/>
    <mergeCell ref="AH259:AK259"/>
    <mergeCell ref="AL259:AO259"/>
    <mergeCell ref="B259:F259"/>
    <mergeCell ref="G259:I259"/>
    <mergeCell ref="J259:L259"/>
    <mergeCell ref="M259:P259"/>
    <mergeCell ref="Q259:T259"/>
    <mergeCell ref="W259:AA259"/>
    <mergeCell ref="AB259:AD259"/>
    <mergeCell ref="AE260:AG260"/>
    <mergeCell ref="AH260:AK260"/>
    <mergeCell ref="AL260:AO260"/>
    <mergeCell ref="B260:F260"/>
    <mergeCell ref="G260:I260"/>
    <mergeCell ref="J260:L260"/>
    <mergeCell ref="M260:P260"/>
    <mergeCell ref="Q260:T260"/>
    <mergeCell ref="W260:AA260"/>
    <mergeCell ref="AB260:AD260"/>
    <mergeCell ref="AE261:AG261"/>
    <mergeCell ref="AH261:AK261"/>
    <mergeCell ref="AL261:AO261"/>
    <mergeCell ref="B261:F261"/>
    <mergeCell ref="G261:I261"/>
    <mergeCell ref="J261:L261"/>
    <mergeCell ref="M261:P261"/>
    <mergeCell ref="Q261:T261"/>
    <mergeCell ref="W261:AA261"/>
    <mergeCell ref="AB261:AD261"/>
    <mergeCell ref="AE262:AG262"/>
    <mergeCell ref="AH262:AK262"/>
    <mergeCell ref="AL262:AO262"/>
    <mergeCell ref="B262:F262"/>
    <mergeCell ref="G262:I262"/>
    <mergeCell ref="J262:L262"/>
    <mergeCell ref="M262:P262"/>
    <mergeCell ref="Q262:T262"/>
    <mergeCell ref="W262:AA262"/>
    <mergeCell ref="AB262:AD262"/>
    <mergeCell ref="AE263:AG263"/>
    <mergeCell ref="AH263:AK263"/>
    <mergeCell ref="AL263:AO263"/>
    <mergeCell ref="B263:F263"/>
    <mergeCell ref="G263:I263"/>
    <mergeCell ref="J263:L263"/>
    <mergeCell ref="M263:P263"/>
    <mergeCell ref="Q263:T263"/>
    <mergeCell ref="W263:AA263"/>
    <mergeCell ref="AB263:AD263"/>
    <mergeCell ref="AE264:AG264"/>
    <mergeCell ref="AH264:AK264"/>
    <mergeCell ref="AL264:AO264"/>
    <mergeCell ref="B264:F264"/>
    <mergeCell ref="G264:I264"/>
    <mergeCell ref="J264:L264"/>
    <mergeCell ref="M264:P264"/>
    <mergeCell ref="Q264:T264"/>
    <mergeCell ref="W264:AA264"/>
    <mergeCell ref="AB264:AD264"/>
    <mergeCell ref="AE265:AG265"/>
    <mergeCell ref="AH265:AK265"/>
    <mergeCell ref="AL265:AO265"/>
    <mergeCell ref="B265:F265"/>
    <mergeCell ref="G265:I265"/>
    <mergeCell ref="J265:L265"/>
    <mergeCell ref="M265:P265"/>
    <mergeCell ref="Q265:T265"/>
    <mergeCell ref="W265:AA265"/>
    <mergeCell ref="AB265:AD265"/>
    <mergeCell ref="AE266:AG266"/>
    <mergeCell ref="AH266:AK266"/>
    <mergeCell ref="AL266:AO266"/>
    <mergeCell ref="B266:F266"/>
    <mergeCell ref="G266:I266"/>
    <mergeCell ref="J266:L266"/>
    <mergeCell ref="M266:P266"/>
    <mergeCell ref="Q266:T266"/>
    <mergeCell ref="W266:AA266"/>
    <mergeCell ref="AB266:AD266"/>
    <mergeCell ref="AE267:AG267"/>
    <mergeCell ref="AH267:AK267"/>
    <mergeCell ref="AL267:AO267"/>
    <mergeCell ref="B267:F267"/>
    <mergeCell ref="G267:I267"/>
    <mergeCell ref="J267:L267"/>
    <mergeCell ref="M267:P267"/>
    <mergeCell ref="Q267:T267"/>
    <mergeCell ref="W267:AA267"/>
    <mergeCell ref="AB267:AD267"/>
    <mergeCell ref="AE268:AG268"/>
    <mergeCell ref="AH268:AK268"/>
    <mergeCell ref="AL268:AO268"/>
    <mergeCell ref="B268:F268"/>
    <mergeCell ref="G268:I268"/>
    <mergeCell ref="J268:L268"/>
    <mergeCell ref="M268:P268"/>
    <mergeCell ref="Q268:T268"/>
    <mergeCell ref="W268:AA268"/>
    <mergeCell ref="AB268:AD268"/>
    <mergeCell ref="AE269:AG269"/>
    <mergeCell ref="AH269:AK269"/>
    <mergeCell ref="AL269:AO269"/>
    <mergeCell ref="B269:F269"/>
    <mergeCell ref="G269:I269"/>
    <mergeCell ref="J269:L269"/>
    <mergeCell ref="M269:P269"/>
    <mergeCell ref="Q269:T269"/>
    <mergeCell ref="W269:AA269"/>
    <mergeCell ref="AB269:AD269"/>
    <mergeCell ref="AE270:AG270"/>
    <mergeCell ref="AH270:AK270"/>
    <mergeCell ref="AL270:AO270"/>
    <mergeCell ref="B270:F270"/>
    <mergeCell ref="G270:I270"/>
    <mergeCell ref="J270:L270"/>
    <mergeCell ref="M270:P270"/>
    <mergeCell ref="Q270:T270"/>
    <mergeCell ref="W270:AA270"/>
    <mergeCell ref="AB270:AD270"/>
    <mergeCell ref="AE271:AG271"/>
    <mergeCell ref="AH271:AK271"/>
    <mergeCell ref="AL271:AO271"/>
    <mergeCell ref="B271:F271"/>
    <mergeCell ref="G271:I271"/>
    <mergeCell ref="J271:L271"/>
    <mergeCell ref="M271:P271"/>
    <mergeCell ref="Q271:T271"/>
    <mergeCell ref="W271:AA271"/>
    <mergeCell ref="AB271:AD271"/>
    <mergeCell ref="AE272:AG272"/>
    <mergeCell ref="AH272:AK272"/>
    <mergeCell ref="AL272:AO272"/>
    <mergeCell ref="B272:F272"/>
    <mergeCell ref="G272:I272"/>
    <mergeCell ref="J272:L272"/>
    <mergeCell ref="M272:P272"/>
    <mergeCell ref="Q272:T272"/>
    <mergeCell ref="W272:AA272"/>
    <mergeCell ref="AB272:AD272"/>
    <mergeCell ref="AE273:AG273"/>
    <mergeCell ref="AH273:AK273"/>
    <mergeCell ref="AL273:AO273"/>
    <mergeCell ref="B273:F273"/>
    <mergeCell ref="G273:I273"/>
    <mergeCell ref="J273:L273"/>
    <mergeCell ref="M273:P273"/>
    <mergeCell ref="Q273:T273"/>
    <mergeCell ref="W273:AA273"/>
    <mergeCell ref="AB273:AD273"/>
  </mergeCells>
  <conditionalFormatting sqref="R4:T8">
    <cfRule type="expression" dxfId="2" priority="1">
      <formula>$G$20=1</formula>
    </cfRule>
  </conditionalFormatting>
  <conditionalFormatting sqref="AW16:AY16 P17:R17 AA17:AC17 AL17:AN17 P21:R21 AA21:AC21 AL21:AN21 AW23:AY23">
    <cfRule type="cellIs" dxfId="3" priority="2" operator="greaterThan">
      <formula>0</formula>
    </cfRule>
  </conditionalFormatting>
  <conditionalFormatting sqref="Q12">
    <cfRule type="notContainsBlanks" dxfId="4" priority="3">
      <formula>LEN(TRIM(Q12))&gt;0</formula>
    </cfRule>
  </conditionalFormatting>
  <conditionalFormatting sqref="AW16:AY16 P17:R17 AA17:AC17 AL17:AN17 P21:R21 AA21:AC21 AL21:AN21 AW23:AY23">
    <cfRule type="cellIs" dxfId="5" priority="4" operator="lessThan">
      <formula>0</formula>
    </cfRule>
  </conditionalFormatting>
  <dataValidations>
    <dataValidation type="list" allowBlank="1" showErrorMessage="1" sqref="B27:B292">
      <formula1>Ingredients!$B$4:$B$1002</formula1>
    </dataValidation>
    <dataValidation type="list" allowBlank="1" showErrorMessage="1" sqref="W27:W292">
      <formula1>Other!$B$4:$B$1002</formula1>
    </dataValidation>
  </dataValidations>
  <drawing r:id="rId1"/>
</worksheet>
</file>